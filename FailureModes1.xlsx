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veconcordia.sharepoint.com/teams/ResearchTeam-ZahraM/Shared Documents/Zahra M/Failure Modes/MATLAB/"/>
    </mc:Choice>
  </mc:AlternateContent>
  <xr:revisionPtr revIDLastSave="88" documentId="8_{3CF2B2E6-9ACD-4A68-8903-F57EC67E5D86}" xr6:coauthVersionLast="47" xr6:coauthVersionMax="47" xr10:uidLastSave="{4F189CDE-5F10-4C40-992C-5436208A96F5}"/>
  <bookViews>
    <workbookView xWindow="-108" yWindow="-108" windowWidth="23256" windowHeight="12576" xr2:uid="{FE75AC97-E5A1-4DEA-89C7-0A2074AFACDB}"/>
  </bookViews>
  <sheets>
    <sheet name="Tables" sheetId="2" r:id="rId1"/>
    <sheet name="Ref." sheetId="3" r:id="rId2"/>
    <sheet name="FR" sheetId="4" r:id="rId3"/>
    <sheet name="Flyleaf" sheetId="6" r:id="rId4"/>
    <sheet name="Rules(Modify)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7" l="1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2" i="7"/>
  <c r="F5" i="4"/>
  <c r="F6" i="4"/>
  <c r="F7" i="4"/>
  <c r="P20" i="4"/>
  <c r="P21" i="4"/>
  <c r="P22" i="4"/>
  <c r="P23" i="4"/>
  <c r="P9" i="4"/>
  <c r="P10" i="4"/>
  <c r="P11" i="4"/>
  <c r="P8" i="4"/>
  <c r="D17" i="4"/>
  <c r="H14" i="4"/>
  <c r="J13" i="4"/>
  <c r="L17" i="4"/>
  <c r="L14" i="4"/>
  <c r="N20" i="4"/>
  <c r="N17" i="4"/>
  <c r="N22" i="4"/>
  <c r="N23" i="4"/>
  <c r="N21" i="4"/>
  <c r="N18" i="4"/>
  <c r="N19" i="4"/>
  <c r="N16" i="4"/>
  <c r="N11" i="4"/>
  <c r="N10" i="4"/>
  <c r="N9" i="4"/>
  <c r="N8" i="4"/>
  <c r="C29" i="4"/>
  <c r="E29" i="4"/>
  <c r="G29" i="4"/>
  <c r="I29" i="4"/>
  <c r="O29" i="4"/>
  <c r="M29" i="4"/>
  <c r="F4" i="4"/>
  <c r="J14" i="4"/>
  <c r="J15" i="4"/>
  <c r="J12" i="4"/>
  <c r="K29" i="4"/>
  <c r="L27" i="4"/>
  <c r="L26" i="4"/>
  <c r="L25" i="4"/>
  <c r="L24" i="4"/>
  <c r="L19" i="4"/>
  <c r="D19" i="4"/>
  <c r="L18" i="4"/>
  <c r="D18" i="4"/>
  <c r="L16" i="4"/>
  <c r="D16" i="4"/>
  <c r="L15" i="4"/>
  <c r="H15" i="4"/>
  <c r="L13" i="4"/>
  <c r="H13" i="4"/>
  <c r="L12" i="4"/>
  <c r="H12" i="4"/>
  <c r="L7" i="4"/>
  <c r="D7" i="4"/>
  <c r="L6" i="4"/>
  <c r="D6" i="4"/>
  <c r="L5" i="4"/>
  <c r="D5" i="4"/>
  <c r="L4" i="4"/>
  <c r="D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zahra</author>
  </authors>
  <commentList>
    <comment ref="K13" authorId="0" shapeId="0" xr:uid="{DC0B1490-58FD-456D-BBC4-3F168A408705}">
      <text>
        <r>
          <rPr>
            <b/>
            <sz val="9"/>
            <color indexed="81"/>
            <rFont val="Tahoma"/>
            <family val="2"/>
          </rPr>
          <t>zahra:</t>
        </r>
        <r>
          <rPr>
            <sz val="9"/>
            <color indexed="81"/>
            <rFont val="Tahoma"/>
            <family val="2"/>
          </rPr>
          <t xml:space="preserve">
Data Corruption still delivers packets (with errors), which are detected and dropped internally (PER &gt; 0 but no complete service interruption)</t>
        </r>
      </text>
    </comment>
    <comment ref="D14" authorId="0" shapeId="0" xr:uid="{9F37F8A7-DE50-4766-B7FC-29DDDCEF7160}">
      <text>
        <r>
          <rPr>
            <b/>
            <sz val="9"/>
            <color indexed="81"/>
            <rFont val="Tahoma"/>
            <family val="2"/>
          </rPr>
          <t>zahra:</t>
        </r>
        <r>
          <rPr>
            <sz val="9"/>
            <color indexed="81"/>
            <rFont val="Tahoma"/>
            <family val="2"/>
          </rPr>
          <t xml:space="preserve">
Data Corruption still delivers packets (with errors), which are detected and dropped internally (PER &gt; 0 but no complete service interruption)</t>
        </r>
      </text>
    </comment>
  </commentList>
</comments>
</file>

<file path=xl/sharedStrings.xml><?xml version="1.0" encoding="utf-8"?>
<sst xmlns="http://schemas.openxmlformats.org/spreadsheetml/2006/main" count="4248" uniqueCount="308">
  <si>
    <t>LossMech</t>
  </si>
  <si>
    <t>HazardMech</t>
  </si>
  <si>
    <t>MajorMech</t>
  </si>
  <si>
    <t>Working</t>
  </si>
  <si>
    <t>MinorMech</t>
  </si>
  <si>
    <t>M2</t>
  </si>
  <si>
    <t>M1</t>
  </si>
  <si>
    <t>HazardTemp</t>
  </si>
  <si>
    <t>MajorTemp</t>
  </si>
  <si>
    <t>MinorTemp</t>
  </si>
  <si>
    <t>T2</t>
  </si>
  <si>
    <t>T2       T1</t>
  </si>
  <si>
    <t>Thermal</t>
  </si>
  <si>
    <t>Zone</t>
  </si>
  <si>
    <t>T1</t>
  </si>
  <si>
    <t>LossData</t>
  </si>
  <si>
    <t>LossElec</t>
  </si>
  <si>
    <t>MajorDelay</t>
  </si>
  <si>
    <t>HazardElec</t>
  </si>
  <si>
    <t>DataCorrupt</t>
  </si>
  <si>
    <t>MajorElec</t>
  </si>
  <si>
    <t>MinorDelay</t>
  </si>
  <si>
    <t>MinorElec</t>
  </si>
  <si>
    <t>Data</t>
  </si>
  <si>
    <t>Ext  Inh</t>
  </si>
  <si>
    <t>ESC</t>
  </si>
  <si>
    <t>Ext Inh</t>
  </si>
  <si>
    <t>Battery</t>
  </si>
  <si>
    <t>FC</t>
  </si>
  <si>
    <t>Ext    Inh</t>
  </si>
  <si>
    <t>DE</t>
  </si>
  <si>
    <t>DT</t>
  </si>
  <si>
    <t>B       Z</t>
  </si>
  <si>
    <t>M</t>
  </si>
  <si>
    <t>F</t>
  </si>
  <si>
    <t>B</t>
  </si>
  <si>
    <t>Z</t>
  </si>
  <si>
    <t>C</t>
  </si>
  <si>
    <t>E</t>
  </si>
  <si>
    <t>PDB</t>
  </si>
  <si>
    <t>Z       B</t>
  </si>
  <si>
    <t>S</t>
  </si>
  <si>
    <t>Elec</t>
  </si>
  <si>
    <t>ZB        FC</t>
  </si>
  <si>
    <t>M3</t>
  </si>
  <si>
    <t>M4</t>
  </si>
  <si>
    <t>Mech</t>
  </si>
  <si>
    <t>M5</t>
  </si>
  <si>
    <t>M6</t>
  </si>
  <si>
    <t>M3     M1</t>
  </si>
  <si>
    <t>M4     M2</t>
  </si>
  <si>
    <t>M6     M5</t>
  </si>
  <si>
    <t>M1M3   M2M4</t>
  </si>
  <si>
    <t>Inherent</t>
  </si>
  <si>
    <t>inFlow</t>
  </si>
  <si>
    <t>outFlow</t>
  </si>
  <si>
    <t>D</t>
  </si>
  <si>
    <t>ME</t>
  </si>
  <si>
    <t>MD</t>
  </si>
  <si>
    <t>MT</t>
  </si>
  <si>
    <t>MET</t>
  </si>
  <si>
    <t>M_1_3</t>
  </si>
  <si>
    <t>M_2_4</t>
  </si>
  <si>
    <t>M_5_6</t>
  </si>
  <si>
    <t>M_13_24</t>
  </si>
  <si>
    <t>Component name</t>
  </si>
  <si>
    <t>name of output</t>
  </si>
  <si>
    <t>Prevuos Comp.</t>
  </si>
  <si>
    <t>(1)Type of input</t>
  </si>
  <si>
    <t>(2)Type of input</t>
  </si>
  <si>
    <t>Input(1) domain</t>
  </si>
  <si>
    <t>Input (2) domain</t>
  </si>
  <si>
    <t>DD</t>
  </si>
  <si>
    <t>DET</t>
  </si>
  <si>
    <t>T</t>
  </si>
  <si>
    <t>T_1_2</t>
  </si>
  <si>
    <t>T3</t>
  </si>
  <si>
    <t>T4</t>
  </si>
  <si>
    <t>T_3_4</t>
  </si>
  <si>
    <t>T5</t>
  </si>
  <si>
    <t>T6</t>
  </si>
  <si>
    <t>T_5_6</t>
  </si>
  <si>
    <t>T_12_34</t>
  </si>
  <si>
    <t>FS</t>
  </si>
  <si>
    <t>MinorCtrl</t>
  </si>
  <si>
    <t>MajorCtrl</t>
  </si>
  <si>
    <t>HazardCtrl</t>
  </si>
  <si>
    <t>% contribution</t>
  </si>
  <si>
    <t>FR</t>
  </si>
  <si>
    <t>Flight Sensor</t>
  </si>
  <si>
    <t>Flight Controller</t>
  </si>
  <si>
    <t>Motor</t>
  </si>
  <si>
    <t>Propeller</t>
  </si>
  <si>
    <t>Total FR</t>
  </si>
  <si>
    <t>Electriccal</t>
  </si>
  <si>
    <t>Minor</t>
  </si>
  <si>
    <t>Major</t>
  </si>
  <si>
    <t>Hazard</t>
  </si>
  <si>
    <t>Loss</t>
  </si>
  <si>
    <t>Mechanical</t>
  </si>
  <si>
    <t xml:space="preserve"> </t>
  </si>
  <si>
    <t>Vibration</t>
  </si>
  <si>
    <t>Magnetic</t>
  </si>
  <si>
    <t>Domain</t>
  </si>
  <si>
    <t>Code</t>
  </si>
  <si>
    <t>Label</t>
  </si>
  <si>
    <t>Electrical</t>
  </si>
  <si>
    <t>MinorVib</t>
  </si>
  <si>
    <t>MajorVib</t>
  </si>
  <si>
    <t>HazardVib</t>
  </si>
  <si>
    <t>Catasrophic</t>
  </si>
  <si>
    <t>MinorMag</t>
  </si>
  <si>
    <t>MajorMag</t>
  </si>
  <si>
    <t>HazardMag</t>
  </si>
  <si>
    <t>LossMag</t>
  </si>
  <si>
    <t>Control</t>
  </si>
  <si>
    <t>Purpose of the Table</t>
  </si>
  <si>
    <t>This sheet contains a reference table that outlines the domains and sub-domains used to categorize failure modes for components in the drone system (Battery, Flight Controller, ESC, Motor, Propeller). The table serves as a guide to understand the structure and classification of failure modes, which are detailed in the main tables showing inherent failure modes and their effects on subsequent components.</t>
  </si>
  <si>
    <t>Domains:</t>
  </si>
  <si>
    <t>Broad categories of failure types (e.g., Electrical, Mechanical).</t>
  </si>
  <si>
    <t>Sub-domains:</t>
  </si>
  <si>
    <t>Specific aspects within each domain (e.g., Power Transmission under Electrical).</t>
  </si>
  <si>
    <t xml:space="preserve">Description: </t>
  </si>
  <si>
    <t>A brief explanation of what each sub-domain represents.</t>
  </si>
  <si>
    <t>Failure States:</t>
  </si>
  <si>
    <t>Possible states ranging from 0 (Working) to 4 (Loss), with meanings specific to each sub-domain.</t>
  </si>
  <si>
    <t>How to Use This Table</t>
  </si>
  <si>
    <t>1. Reference Guide: Use this table to understand the domains and sub-domains referenced in the main failure mode tables.</t>
  </si>
  <si>
    <t>2. Interpret States: Each sub-domain’s failure states (0 to 4) are defined here, providing context for the integer values in the main tables.</t>
  </si>
  <si>
    <t>3. Cross-Check: When analyzing the main tables, refer to this sheet to clarify what a specific domain or sub-domain failure means and how it relates to the system.</t>
  </si>
  <si>
    <t>Sub-domains</t>
  </si>
  <si>
    <r>
      <t xml:space="preserve">Data                            </t>
    </r>
    <r>
      <rPr>
        <b/>
        <sz val="11"/>
        <color theme="0"/>
        <rFont val="Calibri"/>
        <family val="2"/>
        <scheme val="minor"/>
      </rPr>
      <t xml:space="preserve">    </t>
    </r>
    <r>
      <rPr>
        <b/>
        <sz val="11"/>
        <color theme="1"/>
        <rFont val="Calibri"/>
        <family val="2"/>
        <scheme val="minor"/>
      </rPr>
      <t xml:space="preserve">                                 S1</t>
    </r>
  </si>
  <si>
    <t>abbrevation</t>
  </si>
  <si>
    <t>number</t>
  </si>
  <si>
    <t>Signal Exchange</t>
  </si>
  <si>
    <r>
      <t xml:space="preserve">Data                            </t>
    </r>
    <r>
      <rPr>
        <b/>
        <sz val="11"/>
        <color theme="0"/>
        <rFont val="Calibri"/>
        <family val="2"/>
        <scheme val="minor"/>
      </rPr>
      <t xml:space="preserve">       </t>
    </r>
    <r>
      <rPr>
        <b/>
        <sz val="11"/>
        <color theme="1"/>
        <rFont val="Calibri"/>
        <family val="2"/>
        <scheme val="minor"/>
      </rPr>
      <t xml:space="preserve">          S1</t>
    </r>
  </si>
  <si>
    <t>Minor delay</t>
  </si>
  <si>
    <t>Data corruption</t>
  </si>
  <si>
    <t>Major delay</t>
  </si>
  <si>
    <t>Loss of data</t>
  </si>
  <si>
    <t>Mechanical                                                       P1</t>
  </si>
  <si>
    <t>Electrical                                                        P2</t>
  </si>
  <si>
    <t>Power Transmission</t>
  </si>
  <si>
    <t>Mechanical                                    P1</t>
  </si>
  <si>
    <t>Electrical                                      P2</t>
  </si>
  <si>
    <t>0-Working</t>
  </si>
  <si>
    <t>Minor degradation  mechanical power transmission</t>
  </si>
  <si>
    <t>Minor degradation electrical power transmission</t>
  </si>
  <si>
    <t>OV_Elec</t>
  </si>
  <si>
    <t>1-Minor degradation electrical power transmission</t>
  </si>
  <si>
    <t>Major degradation of mechanical power transmission</t>
  </si>
  <si>
    <t>Overcurrent/overvoltage event</t>
  </si>
  <si>
    <t>JammedMech</t>
  </si>
  <si>
    <t>2-Overcurrent/overvoltage event</t>
  </si>
  <si>
    <t>Jammed rotor</t>
  </si>
  <si>
    <t>Major degradation electrical power transmission</t>
  </si>
  <si>
    <t>3-Major degradation electrical power transmission</t>
  </si>
  <si>
    <t>Loss of mechanical power transmission</t>
  </si>
  <si>
    <t>Loss of electrical power transmission</t>
  </si>
  <si>
    <t>4-Loss of electrical power transmission</t>
  </si>
  <si>
    <t>Thermal                                                             Z1</t>
  </si>
  <si>
    <t>Vibration                                                         Z2</t>
  </si>
  <si>
    <t>Magnetic                                                         Z3</t>
  </si>
  <si>
    <t>Zonal Effects</t>
  </si>
  <si>
    <t>Thermal                                          Z1</t>
  </si>
  <si>
    <t>Vibration                                      Z2</t>
  </si>
  <si>
    <t>Minor temperature increase</t>
  </si>
  <si>
    <t>Minor increase in vibration</t>
  </si>
  <si>
    <t>Minor effect in magnetic</t>
  </si>
  <si>
    <t>1-Minor increase in vibration</t>
  </si>
  <si>
    <t>Major temperature increase</t>
  </si>
  <si>
    <t>Major increase in vibration</t>
  </si>
  <si>
    <t>Major effect in magnetic</t>
  </si>
  <si>
    <t>HazardTherm</t>
  </si>
  <si>
    <t>2-Major increase in vibration</t>
  </si>
  <si>
    <t>Hazardous thermal damage</t>
  </si>
  <si>
    <t>Hazardous vibration damage</t>
  </si>
  <si>
    <t>Hazardous effect in magnetic</t>
  </si>
  <si>
    <t>LossTherm</t>
  </si>
  <si>
    <t>LossVib</t>
  </si>
  <si>
    <t>3-Hazardous vibration damage</t>
  </si>
  <si>
    <t>Loss (full damage by thermal)</t>
  </si>
  <si>
    <t>Loss (full damage by vibration)</t>
  </si>
  <si>
    <t>Loss (catasrophic effect in magnetic)</t>
  </si>
  <si>
    <t>4-Loss (full damage by vibration)</t>
  </si>
  <si>
    <t>Example:</t>
  </si>
  <si>
    <t>Component</t>
  </si>
  <si>
    <t>Failure mode (cause)</t>
  </si>
  <si>
    <t>Sub-domain</t>
  </si>
  <si>
    <t>State</t>
  </si>
  <si>
    <t>Short Circuit</t>
  </si>
  <si>
    <t>P</t>
  </si>
  <si>
    <t>P2</t>
  </si>
  <si>
    <t xml:space="preserve">Processor failure </t>
  </si>
  <si>
    <t>S2</t>
  </si>
  <si>
    <t>How to Fill In the Tables</t>
  </si>
  <si>
    <r>
      <t>Each sub-domain is represented by a lookup table. Depending on the component type, you’ll fill either:
- A 1×5 table (for components with only inherent failures, like the Battery), or
- A 5×5 table (for components affected by both inherent and propagated failures).
-</t>
    </r>
    <r>
      <rPr>
        <b/>
        <sz val="11"/>
        <color theme="1"/>
        <rFont val="Calibri"/>
        <family val="2"/>
        <scheme val="minor"/>
      </rPr>
      <t xml:space="preserve"> Enter a number (0–4)</t>
    </r>
    <r>
      <rPr>
        <sz val="11"/>
        <color theme="1"/>
        <rFont val="Calibri"/>
        <family val="2"/>
        <scheme val="minor"/>
      </rPr>
      <t xml:space="preserve">; the </t>
    </r>
    <r>
      <rPr>
        <b/>
        <sz val="11"/>
        <color theme="1"/>
        <rFont val="Calibri"/>
        <family val="2"/>
        <scheme val="minor"/>
      </rPr>
      <t>failure summary appears</t>
    </r>
    <r>
      <rPr>
        <sz val="11"/>
        <color theme="1"/>
        <rFont val="Calibri"/>
        <family val="2"/>
        <scheme val="minor"/>
      </rPr>
      <t xml:space="preserve"> based on the selected sub-domain.</t>
    </r>
  </si>
  <si>
    <t>Current Component</t>
  </si>
  <si>
    <t>Important Notes</t>
  </si>
  <si>
    <r>
      <t xml:space="preserve">- </t>
    </r>
    <r>
      <rPr>
        <b/>
        <sz val="11"/>
        <color theme="1"/>
        <rFont val="Calibri"/>
        <family val="2"/>
        <scheme val="minor"/>
      </rPr>
      <t>Do not leave blank cells</t>
    </r>
    <r>
      <rPr>
        <sz val="11"/>
        <color theme="1"/>
        <rFont val="Calibri"/>
        <family val="2"/>
        <scheme val="minor"/>
      </rPr>
      <t xml:space="preserve"> in any table.
- Ensure all values you put are integers between 0 and 4.
- If a sub-domain doesn’t exist for a component,</t>
    </r>
    <r>
      <rPr>
        <b/>
        <sz val="11"/>
        <color theme="1"/>
        <rFont val="Calibri"/>
        <family val="2"/>
        <scheme val="minor"/>
      </rPr>
      <t xml:space="preserve"> delete it</t>
    </r>
    <r>
      <rPr>
        <sz val="11"/>
        <color theme="1"/>
        <rFont val="Calibri"/>
        <family val="2"/>
        <scheme val="minor"/>
      </rPr>
      <t>.
- If the layout of tables is changed (rename or resized), update the VBA and MATLAB script accordingly.</t>
    </r>
  </si>
  <si>
    <t>External Component</t>
  </si>
  <si>
    <t>External           Inherent</t>
  </si>
  <si>
    <r>
      <t xml:space="preserve">Represent the </t>
    </r>
    <r>
      <rPr>
        <b/>
        <sz val="11"/>
        <rFont val="Calibri"/>
        <family val="2"/>
        <scheme val="minor"/>
      </rPr>
      <t>inherent failure state</t>
    </r>
    <r>
      <rPr>
        <sz val="11"/>
        <rFont val="Calibri"/>
        <family val="2"/>
        <scheme val="minor"/>
      </rPr>
      <t xml:space="preserve"> of the current component.</t>
    </r>
  </si>
  <si>
    <r>
      <t xml:space="preserve">Represent the </t>
    </r>
    <r>
      <rPr>
        <b/>
        <sz val="11"/>
        <rFont val="Calibri"/>
        <family val="2"/>
        <scheme val="minor"/>
      </rPr>
      <t>incoming propagated failure state</t>
    </r>
    <r>
      <rPr>
        <sz val="11"/>
        <rFont val="Calibri"/>
        <family val="2"/>
        <scheme val="minor"/>
      </rPr>
      <t xml:space="preserve"> from the external component</t>
    </r>
  </si>
  <si>
    <t>A cell at row 2, column 1 (i.e., propagated=2, inherent=1) with value 3 means:
- If the incoming propagated failure is state 2, and the component’s inherent failure is state 1, the output state is 3.</t>
  </si>
  <si>
    <t>Represent the resulting combined failure state (output) for that sub-domain.</t>
  </si>
  <si>
    <r>
      <t xml:space="preserve">If there is no effect from one state to another, please keep the cell </t>
    </r>
    <r>
      <rPr>
        <b/>
        <sz val="13"/>
        <color rgb="FFFF0000"/>
        <rFont val="Calibri"/>
        <family val="2"/>
        <scheme val="minor"/>
      </rPr>
      <t>"</t>
    </r>
    <r>
      <rPr>
        <b/>
        <sz val="14"/>
        <color rgb="FFFF0000"/>
        <rFont val="Calibri"/>
        <family val="2"/>
        <scheme val="minor"/>
      </rPr>
      <t>Empty</t>
    </r>
    <r>
      <rPr>
        <b/>
        <sz val="13"/>
        <color rgb="FFFF0000"/>
        <rFont val="Calibri"/>
        <family val="2"/>
        <scheme val="minor"/>
      </rPr>
      <t>"</t>
    </r>
    <r>
      <rPr>
        <sz val="13"/>
        <color rgb="FFFF0000"/>
        <rFont val="Calibri"/>
        <family val="2"/>
        <scheme val="minor"/>
      </rPr>
      <t>.</t>
    </r>
  </si>
  <si>
    <t>V</t>
  </si>
  <si>
    <t>MM</t>
  </si>
  <si>
    <t>MV</t>
  </si>
  <si>
    <t>M       Z</t>
  </si>
  <si>
    <t>DV</t>
  </si>
  <si>
    <t>MinorVibra</t>
  </si>
  <si>
    <t>MajorVibra</t>
  </si>
  <si>
    <t>HazardVibra</t>
  </si>
  <si>
    <t>CatasVibra</t>
  </si>
  <si>
    <t>DDV</t>
  </si>
  <si>
    <t>MVD</t>
  </si>
  <si>
    <t>ET</t>
  </si>
  <si>
    <t>EV</t>
  </si>
  <si>
    <t>V1</t>
  </si>
  <si>
    <t>V2</t>
  </si>
  <si>
    <t>V2       V1</t>
  </si>
  <si>
    <t>M_1_2</t>
  </si>
  <si>
    <t>M_3_4</t>
  </si>
  <si>
    <t>M_12_34</t>
  </si>
  <si>
    <t>EE</t>
  </si>
  <si>
    <t>ETE</t>
  </si>
  <si>
    <t>T7</t>
  </si>
  <si>
    <t>T8</t>
  </si>
  <si>
    <t>T9</t>
  </si>
  <si>
    <t>T10</t>
  </si>
  <si>
    <t>T11</t>
  </si>
  <si>
    <t>T12</t>
  </si>
  <si>
    <t>T34</t>
  </si>
  <si>
    <t>T56</t>
  </si>
  <si>
    <t>T78</t>
  </si>
  <si>
    <t>T910</t>
  </si>
  <si>
    <t>T112</t>
  </si>
  <si>
    <t>T912</t>
  </si>
  <si>
    <t>T58</t>
  </si>
  <si>
    <t>T14</t>
  </si>
  <si>
    <t>T18</t>
  </si>
  <si>
    <t>T13</t>
  </si>
  <si>
    <t>T913</t>
  </si>
  <si>
    <t>V3</t>
  </si>
  <si>
    <t>V4</t>
  </si>
  <si>
    <t>V5</t>
  </si>
  <si>
    <t>V12</t>
  </si>
  <si>
    <t>V34</t>
  </si>
  <si>
    <t>V6</t>
  </si>
  <si>
    <t>V56</t>
  </si>
  <si>
    <t>V7</t>
  </si>
  <si>
    <t>V8</t>
  </si>
  <si>
    <t>V78</t>
  </si>
  <si>
    <t>V9</t>
  </si>
  <si>
    <t>V10</t>
  </si>
  <si>
    <t>V910</t>
  </si>
  <si>
    <t>V11</t>
  </si>
  <si>
    <t>V112</t>
  </si>
  <si>
    <t>V14</t>
  </si>
  <si>
    <t>V58</t>
  </si>
  <si>
    <t>V912</t>
  </si>
  <si>
    <t>V18</t>
  </si>
  <si>
    <t>PNPNPN</t>
  </si>
  <si>
    <t>PPNNPN</t>
  </si>
  <si>
    <t>Controllability</t>
  </si>
  <si>
    <t>CatasData</t>
  </si>
  <si>
    <t>HazardDelay</t>
  </si>
  <si>
    <t>CatasMech</t>
  </si>
  <si>
    <t>CatasElec</t>
  </si>
  <si>
    <t>CatasTemp</t>
  </si>
  <si>
    <t>CatasCtrl</t>
  </si>
  <si>
    <t>Hazardous</t>
  </si>
  <si>
    <t>*all Comp. in same zone</t>
  </si>
  <si>
    <t>It will change based on Zone selection</t>
  </si>
  <si>
    <t>Inputs&amp;Outputs</t>
  </si>
  <si>
    <t>From                                   To</t>
  </si>
  <si>
    <t>Strong</t>
  </si>
  <si>
    <t>Moderate</t>
  </si>
  <si>
    <t>-</t>
  </si>
  <si>
    <t>P1</t>
  </si>
  <si>
    <t>P3</t>
  </si>
  <si>
    <t>P4</t>
  </si>
  <si>
    <t>P5</t>
  </si>
  <si>
    <t>P6</t>
  </si>
  <si>
    <t>Rationale in one line each:</t>
  </si>
  <si>
    <r>
      <t>E→D</t>
    </r>
    <r>
      <rPr>
        <sz val="11"/>
        <color theme="1"/>
        <rFont val="Calibri"/>
        <family val="2"/>
        <scheme val="minor"/>
      </rPr>
      <t xml:space="preserve"> (power → data): loss/noise/power-cycling corrupts data (strong).</t>
    </r>
  </si>
  <si>
    <r>
      <t>D→M</t>
    </r>
    <r>
      <rPr>
        <sz val="11"/>
        <color theme="1"/>
        <rFont val="Calibri"/>
        <family val="2"/>
        <scheme val="minor"/>
      </rPr>
      <t xml:space="preserve"> (commands → mechanics): bad setpoints saturate/oscillate thrust (strong).</t>
    </r>
  </si>
  <si>
    <r>
      <t>T→E/D</t>
    </r>
    <r>
      <rPr>
        <sz val="11"/>
        <color theme="1"/>
        <rFont val="Calibri"/>
        <family val="2"/>
        <scheme val="minor"/>
      </rPr>
      <t xml:space="preserve"> (overheat → electronics): thermal stress quickly degrades electronics &amp; signals (strong).</t>
    </r>
  </si>
  <si>
    <r>
      <t>M/V→M/V</t>
    </r>
    <r>
      <rPr>
        <sz val="11"/>
        <color theme="1"/>
        <rFont val="Calibri"/>
        <family val="2"/>
        <scheme val="minor"/>
      </rPr>
      <t xml:space="preserve"> (structure → structure): direct imbalance/wear/oscillation (strong).</t>
    </r>
  </si>
  <si>
    <r>
      <t xml:space="preserve">Cross-domain paths that are indirect (e.g., </t>
    </r>
    <r>
      <rPr>
        <b/>
        <sz val="11"/>
        <color theme="1"/>
        <rFont val="Calibri"/>
        <family val="2"/>
        <scheme val="minor"/>
      </rPr>
      <t>V→E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T→M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M→E</t>
    </r>
    <r>
      <rPr>
        <sz val="11"/>
        <color theme="1"/>
        <rFont val="Calibri"/>
        <family val="2"/>
        <scheme val="minor"/>
      </rPr>
      <t xml:space="preserve">) are </t>
    </r>
    <r>
      <rPr>
        <b/>
        <sz val="11"/>
        <color theme="1"/>
        <rFont val="Calibri"/>
        <family val="2"/>
        <scheme val="minor"/>
      </rPr>
      <t>moderate</t>
    </r>
    <r>
      <rPr>
        <sz val="11"/>
        <color theme="1"/>
        <rFont val="Calibri"/>
        <family val="2"/>
        <scheme val="minor"/>
      </rPr>
      <t>.</t>
    </r>
  </si>
  <si>
    <t>*</t>
  </si>
  <si>
    <t>* No connection in our model.</t>
  </si>
  <si>
    <r>
      <t xml:space="preserve">Strong
</t>
    </r>
    <r>
      <rPr>
        <sz val="11"/>
        <color theme="1"/>
        <rFont val="Calibri"/>
        <family val="2"/>
        <scheme val="minor"/>
      </rPr>
      <t>(aggressive propagation)</t>
    </r>
  </si>
  <si>
    <r>
      <t xml:space="preserve">Moderate
</t>
    </r>
    <r>
      <rPr>
        <sz val="11"/>
        <color theme="1"/>
        <rFont val="Calibri"/>
        <family val="2"/>
        <scheme val="minor"/>
      </rPr>
      <t>(one-to-one)</t>
    </r>
  </si>
  <si>
    <t>Rule type</t>
  </si>
  <si>
    <t>V13</t>
  </si>
  <si>
    <t>V134</t>
  </si>
  <si>
    <t>V15</t>
  </si>
  <si>
    <t>V16</t>
  </si>
  <si>
    <t>V156</t>
  </si>
  <si>
    <t>V136</t>
  </si>
  <si>
    <t>V189</t>
  </si>
  <si>
    <t>Majority Voter</t>
  </si>
  <si>
    <t>Mj</t>
  </si>
  <si>
    <t>DDT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</si>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</sst>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E+00"/>
    <numFmt numFmtId="165" formatCode="0.0E+00"/>
    <numFmt numFmtId="166" formatCode="0.0000E+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2" tint="-0.249977111117893"/>
      <name val="Calibri"/>
      <family val="2"/>
      <scheme val="minor"/>
    </font>
    <font>
      <sz val="10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7F0C6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D5AB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</fills>
  <borders count="6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auto="1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 diagonalDown="1">
      <left/>
      <right/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6" fillId="7" borderId="0" applyNumberFormat="0" applyBorder="0" applyAlignment="0" applyProtection="0"/>
    <xf numFmtId="0" fontId="7" fillId="8" borderId="0" applyNumberFormat="0" applyBorder="0" applyAlignment="0" applyProtection="0"/>
    <xf numFmtId="0" fontId="8" fillId="9" borderId="0" applyNumberFormat="0" applyBorder="0" applyAlignment="0" applyProtection="0"/>
  </cellStyleXfs>
  <cellXfs count="4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distributed" vertical="center"/>
    </xf>
    <xf numFmtId="0" fontId="2" fillId="0" borderId="0" xfId="0" applyFont="1"/>
    <xf numFmtId="0" fontId="4" fillId="3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0" xfId="0" applyFont="1" applyFill="1"/>
    <xf numFmtId="0" fontId="2" fillId="0" borderId="16" xfId="0" applyFont="1" applyBorder="1" applyAlignment="1">
      <alignment horizontal="distributed" vertical="center"/>
    </xf>
    <xf numFmtId="9" fontId="2" fillId="4" borderId="0" xfId="1" applyFont="1" applyFill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5" borderId="0" xfId="0" applyFill="1"/>
    <xf numFmtId="0" fontId="2" fillId="5" borderId="0" xfId="0" applyFont="1" applyFill="1"/>
    <xf numFmtId="0" fontId="0" fillId="0" borderId="0" xfId="0" applyFill="1"/>
    <xf numFmtId="0" fontId="0" fillId="0" borderId="18" xfId="0" applyBorder="1"/>
    <xf numFmtId="0" fontId="0" fillId="0" borderId="0" xfId="0" applyBorder="1"/>
    <xf numFmtId="0" fontId="2" fillId="0" borderId="0" xfId="0" applyFont="1" applyFill="1" applyBorder="1"/>
    <xf numFmtId="0" fontId="2" fillId="0" borderId="1" xfId="0" applyFont="1" applyFill="1" applyBorder="1"/>
    <xf numFmtId="0" fontId="0" fillId="0" borderId="0" xfId="0" applyFill="1" applyBorder="1"/>
    <xf numFmtId="0" fontId="5" fillId="0" borderId="12" xfId="0" applyFont="1" applyBorder="1" applyAlignment="1">
      <alignment horizontal="distributed" vertical="center"/>
    </xf>
    <xf numFmtId="0" fontId="0" fillId="0" borderId="5" xfId="0" applyBorder="1" applyAlignment="1">
      <alignment vertical="center"/>
    </xf>
    <xf numFmtId="0" fontId="0" fillId="0" borderId="2" xfId="0" applyBorder="1" applyAlignment="1"/>
    <xf numFmtId="0" fontId="2" fillId="0" borderId="0" xfId="0" applyFont="1" applyFill="1" applyBorder="1" applyAlignment="1">
      <alignment horizontal="center" vertical="center"/>
    </xf>
    <xf numFmtId="0" fontId="0" fillId="6" borderId="0" xfId="0" applyFill="1"/>
    <xf numFmtId="0" fontId="2" fillId="6" borderId="0" xfId="0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2" fillId="6" borderId="0" xfId="0" applyFont="1" applyFill="1" applyBorder="1" applyAlignment="1">
      <alignment horizontal="left" vertical="center"/>
    </xf>
    <xf numFmtId="0" fontId="0" fillId="6" borderId="5" xfId="0" applyFill="1" applyBorder="1" applyAlignment="1">
      <alignment vertical="center"/>
    </xf>
    <xf numFmtId="0" fontId="0" fillId="6" borderId="2" xfId="0" applyFill="1" applyBorder="1" applyAlignment="1"/>
    <xf numFmtId="0" fontId="2" fillId="0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0" fillId="6" borderId="2" xfId="0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0" borderId="16" xfId="0" applyFont="1" applyBorder="1" applyAlignment="1">
      <alignment horizontal="distributed" vertical="center"/>
    </xf>
    <xf numFmtId="0" fontId="0" fillId="0" borderId="0" xfId="0" applyBorder="1"/>
    <xf numFmtId="0" fontId="2" fillId="0" borderId="0" xfId="0" applyFont="1" applyFill="1" applyBorder="1"/>
    <xf numFmtId="0" fontId="2" fillId="0" borderId="1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164" fontId="0" fillId="0" borderId="0" xfId="0" applyNumberFormat="1"/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12" fillId="0" borderId="9" xfId="1" applyFont="1" applyBorder="1" applyAlignment="1">
      <alignment horizontal="left"/>
    </xf>
    <xf numFmtId="9" fontId="0" fillId="0" borderId="9" xfId="1" applyFont="1" applyBorder="1" applyAlignment="1">
      <alignment horizontal="center" vertical="center"/>
    </xf>
    <xf numFmtId="9" fontId="11" fillId="5" borderId="9" xfId="1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164" fontId="0" fillId="10" borderId="8" xfId="0" applyNumberFormat="1" applyFill="1" applyBorder="1" applyAlignment="1">
      <alignment horizontal="center" vertical="center"/>
    </xf>
    <xf numFmtId="9" fontId="0" fillId="0" borderId="11" xfId="1" applyFont="1" applyFill="1" applyBorder="1" applyAlignment="1">
      <alignment horizontal="center" vertical="center"/>
    </xf>
    <xf numFmtId="9" fontId="0" fillId="5" borderId="0" xfId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165" fontId="0" fillId="11" borderId="10" xfId="0" applyNumberFormat="1" applyFill="1" applyBorder="1" applyAlignment="1">
      <alignment horizontal="center" vertical="center"/>
    </xf>
    <xf numFmtId="9" fontId="11" fillId="5" borderId="0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10" borderId="5" xfId="0" applyNumberFormat="1" applyFill="1" applyBorder="1" applyAlignment="1">
      <alignment horizontal="center" vertical="center"/>
    </xf>
    <xf numFmtId="9" fontId="0" fillId="0" borderId="7" xfId="1" applyFont="1" applyFill="1" applyBorder="1" applyAlignment="1">
      <alignment horizontal="center" vertical="center"/>
    </xf>
    <xf numFmtId="165" fontId="0" fillId="11" borderId="6" xfId="0" applyNumberFormat="1" applyFill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9" fontId="0" fillId="0" borderId="4" xfId="1" applyFont="1" applyFill="1" applyBorder="1" applyAlignment="1">
      <alignment horizontal="center" vertical="center"/>
    </xf>
    <xf numFmtId="165" fontId="0" fillId="11" borderId="3" xfId="0" applyNumberFormat="1" applyFill="1" applyBorder="1" applyAlignment="1">
      <alignment horizontal="center" vertical="center"/>
    </xf>
    <xf numFmtId="9" fontId="11" fillId="5" borderId="2" xfId="1" applyFont="1" applyFill="1" applyBorder="1" applyAlignment="1">
      <alignment horizontal="center" vertical="center"/>
    </xf>
    <xf numFmtId="164" fontId="0" fillId="13" borderId="8" xfId="0" applyNumberFormat="1" applyFill="1" applyBorder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0" fillId="13" borderId="5" xfId="0" applyNumberFormat="1" applyFill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6" fillId="0" borderId="0" xfId="2" applyFill="1" applyBorder="1" applyAlignment="1">
      <alignment horizontal="center" vertical="center"/>
    </xf>
    <xf numFmtId="0" fontId="7" fillId="0" borderId="0" xfId="3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8" fillId="0" borderId="0" xfId="4" applyFill="1" applyBorder="1" applyAlignment="1">
      <alignment horizontal="center" vertical="center"/>
    </xf>
    <xf numFmtId="9" fontId="0" fillId="5" borderId="0" xfId="1" applyFont="1" applyFill="1" applyBorder="1" applyAlignment="1">
      <alignment vertical="center"/>
    </xf>
    <xf numFmtId="9" fontId="0" fillId="5" borderId="9" xfId="1" applyFont="1" applyFill="1" applyBorder="1" applyAlignment="1">
      <alignment vertical="center"/>
    </xf>
    <xf numFmtId="9" fontId="0" fillId="0" borderId="9" xfId="1" applyFont="1" applyFill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9" fontId="11" fillId="5" borderId="0" xfId="1" applyFont="1" applyFill="1" applyBorder="1" applyAlignment="1">
      <alignment vertical="center"/>
    </xf>
    <xf numFmtId="9" fontId="11" fillId="5" borderId="7" xfId="1" applyFont="1" applyFill="1" applyBorder="1" applyAlignment="1">
      <alignment horizontal="center" vertical="center"/>
    </xf>
    <xf numFmtId="9" fontId="11" fillId="5" borderId="4" xfId="1" applyFont="1" applyFill="1" applyBorder="1" applyAlignment="1">
      <alignment horizontal="center" vertical="center"/>
    </xf>
    <xf numFmtId="9" fontId="11" fillId="5" borderId="10" xfId="1" applyFont="1" applyFill="1" applyBorder="1" applyAlignment="1">
      <alignment vertical="center"/>
    </xf>
    <xf numFmtId="9" fontId="11" fillId="5" borderId="6" xfId="1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9" fontId="11" fillId="5" borderId="2" xfId="1" applyFont="1" applyFill="1" applyBorder="1" applyAlignment="1">
      <alignment vertical="center"/>
    </xf>
    <xf numFmtId="9" fontId="11" fillId="5" borderId="3" xfId="1" applyFont="1" applyFill="1" applyBorder="1" applyAlignment="1">
      <alignment vertical="center"/>
    </xf>
    <xf numFmtId="9" fontId="0" fillId="0" borderId="0" xfId="1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2" applyFont="1" applyFill="1" applyBorder="1" applyAlignment="1">
      <alignment horizontal="center" vertical="center"/>
    </xf>
    <xf numFmtId="16" fontId="15" fillId="0" borderId="0" xfId="0" applyNumberFormat="1" applyFont="1" applyFill="1" applyAlignment="1">
      <alignment horizontal="center" vertical="center"/>
    </xf>
    <xf numFmtId="16" fontId="11" fillId="0" borderId="0" xfId="0" applyNumberFormat="1" applyFont="1" applyFill="1" applyAlignment="1">
      <alignment horizontal="center" vertical="center"/>
    </xf>
    <xf numFmtId="14" fontId="11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9" fontId="11" fillId="0" borderId="0" xfId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1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16" fontId="14" fillId="0" borderId="0" xfId="0" applyNumberFormat="1" applyFont="1" applyFill="1" applyAlignment="1">
      <alignment horizontal="center" vertical="center"/>
    </xf>
    <xf numFmtId="16" fontId="0" fillId="0" borderId="0" xfId="0" applyNumberFormat="1" applyFill="1" applyAlignment="1">
      <alignment horizontal="center" vertical="center"/>
    </xf>
    <xf numFmtId="0" fontId="0" fillId="0" borderId="0" xfId="0" quotePrefix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distributed" vertical="center"/>
    </xf>
    <xf numFmtId="0" fontId="3" fillId="0" borderId="0" xfId="0" applyFont="1" applyFill="1" applyBorder="1" applyAlignment="1">
      <alignment horizontal="center" vertical="center"/>
    </xf>
    <xf numFmtId="9" fontId="2" fillId="0" borderId="0" xfId="1" applyFont="1" applyFill="1" applyBorder="1" applyAlignment="1">
      <alignment vertical="center"/>
    </xf>
    <xf numFmtId="9" fontId="2" fillId="0" borderId="0" xfId="1" applyFont="1" applyFill="1" applyBorder="1" applyAlignment="1">
      <alignment horizontal="center" vertical="center"/>
    </xf>
    <xf numFmtId="9" fontId="2" fillId="0" borderId="9" xfId="1" applyFont="1" applyFill="1" applyBorder="1" applyAlignment="1">
      <alignment horizontal="center" vertical="center"/>
    </xf>
    <xf numFmtId="9" fontId="2" fillId="0" borderId="2" xfId="1" applyFont="1" applyFill="1" applyBorder="1" applyAlignment="1">
      <alignment horizontal="center" vertical="center"/>
    </xf>
    <xf numFmtId="9" fontId="2" fillId="5" borderId="0" xfId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9" fontId="2" fillId="5" borderId="2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9" fontId="2" fillId="5" borderId="0" xfId="1" applyFont="1" applyFill="1" applyBorder="1" applyAlignment="1">
      <alignment vertical="center"/>
    </xf>
    <xf numFmtId="9" fontId="2" fillId="5" borderId="11" xfId="1" applyFont="1" applyFill="1" applyBorder="1" applyAlignment="1">
      <alignment horizontal="center" vertical="center"/>
    </xf>
    <xf numFmtId="9" fontId="2" fillId="5" borderId="7" xfId="1" applyFont="1" applyFill="1" applyBorder="1" applyAlignment="1">
      <alignment horizontal="center" vertical="center"/>
    </xf>
    <xf numFmtId="9" fontId="2" fillId="5" borderId="4" xfId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65" fontId="0" fillId="16" borderId="8" xfId="0" applyNumberFormat="1" applyFill="1" applyBorder="1" applyAlignment="1">
      <alignment horizontal="center" vertical="center"/>
    </xf>
    <xf numFmtId="165" fontId="0" fillId="16" borderId="5" xfId="0" applyNumberFormat="1" applyFill="1" applyBorder="1" applyAlignment="1">
      <alignment horizontal="center" vertical="center"/>
    </xf>
    <xf numFmtId="165" fontId="0" fillId="16" borderId="1" xfId="0" applyNumberFormat="1" applyFill="1" applyBorder="1" applyAlignment="1">
      <alignment horizontal="center" vertical="center"/>
    </xf>
    <xf numFmtId="164" fontId="0" fillId="15" borderId="8" xfId="0" applyNumberFormat="1" applyFill="1" applyBorder="1" applyAlignment="1">
      <alignment horizontal="center" vertical="center"/>
    </xf>
    <xf numFmtId="164" fontId="0" fillId="15" borderId="5" xfId="0" applyNumberFormat="1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17" borderId="22" xfId="0" applyFont="1" applyFill="1" applyBorder="1" applyAlignment="1">
      <alignment horizontal="left" vertical="center"/>
    </xf>
    <xf numFmtId="0" fontId="0" fillId="18" borderId="23" xfId="0" applyFill="1" applyBorder="1" applyAlignment="1">
      <alignment horizontal="left" vertical="center" indent="1"/>
    </xf>
    <xf numFmtId="0" fontId="0" fillId="18" borderId="24" xfId="0" applyFill="1" applyBorder="1"/>
    <xf numFmtId="0" fontId="0" fillId="18" borderId="25" xfId="0" applyFill="1" applyBorder="1"/>
    <xf numFmtId="0" fontId="9" fillId="5" borderId="31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left" wrapText="1"/>
    </xf>
    <xf numFmtId="0" fontId="9" fillId="5" borderId="27" xfId="0" applyFont="1" applyFill="1" applyBorder="1" applyAlignment="1">
      <alignment horizontal="left"/>
    </xf>
    <xf numFmtId="0" fontId="0" fillId="5" borderId="27" xfId="0" applyFill="1" applyBorder="1" applyAlignment="1">
      <alignment horizontal="left" vertical="center" indent="1"/>
    </xf>
    <xf numFmtId="0" fontId="0" fillId="18" borderId="27" xfId="0" applyFill="1" applyBorder="1" applyAlignment="1">
      <alignment horizontal="left" vertical="center"/>
    </xf>
    <xf numFmtId="0" fontId="0" fillId="18" borderId="27" xfId="0" applyFill="1" applyBorder="1"/>
    <xf numFmtId="0" fontId="0" fillId="18" borderId="28" xfId="0" applyFill="1" applyBorder="1"/>
    <xf numFmtId="0" fontId="0" fillId="18" borderId="0" xfId="0" applyFill="1" applyAlignment="1">
      <alignment horizontal="left" vertical="center"/>
    </xf>
    <xf numFmtId="0" fontId="0" fillId="18" borderId="0" xfId="0" applyFill="1"/>
    <xf numFmtId="0" fontId="0" fillId="18" borderId="19" xfId="0" applyFill="1" applyBorder="1"/>
    <xf numFmtId="0" fontId="0" fillId="18" borderId="20" xfId="0" applyFill="1" applyBorder="1" applyAlignment="1">
      <alignment horizontal="left" vertical="center"/>
    </xf>
    <xf numFmtId="0" fontId="0" fillId="18" borderId="20" xfId="0" applyFill="1" applyBorder="1"/>
    <xf numFmtId="0" fontId="0" fillId="18" borderId="21" xfId="0" applyFill="1" applyBorder="1"/>
    <xf numFmtId="0" fontId="18" fillId="19" borderId="32" xfId="0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10" fillId="20" borderId="23" xfId="0" applyFont="1" applyFill="1" applyBorder="1"/>
    <xf numFmtId="0" fontId="10" fillId="20" borderId="35" xfId="0" applyFont="1" applyFill="1" applyBorder="1"/>
    <xf numFmtId="0" fontId="10" fillId="20" borderId="36" xfId="0" applyFont="1" applyFill="1" applyBorder="1"/>
    <xf numFmtId="0" fontId="10" fillId="5" borderId="0" xfId="0" applyFont="1" applyFill="1"/>
    <xf numFmtId="0" fontId="0" fillId="5" borderId="37" xfId="0" applyFill="1" applyBorder="1" applyAlignment="1">
      <alignment horizontal="left" vertical="center"/>
    </xf>
    <xf numFmtId="0" fontId="0" fillId="5" borderId="28" xfId="0" applyFill="1" applyBorder="1" applyAlignment="1">
      <alignment horizontal="center" vertical="center"/>
    </xf>
    <xf numFmtId="0" fontId="10" fillId="20" borderId="38" xfId="0" applyFont="1" applyFill="1" applyBorder="1"/>
    <xf numFmtId="0" fontId="10" fillId="20" borderId="39" xfId="0" applyFont="1" applyFill="1" applyBorder="1"/>
    <xf numFmtId="0" fontId="0" fillId="5" borderId="40" xfId="0" applyFill="1" applyBorder="1"/>
    <xf numFmtId="0" fontId="0" fillId="5" borderId="41" xfId="0" applyFill="1" applyBorder="1" applyAlignment="1">
      <alignment horizontal="center" vertical="center"/>
    </xf>
    <xf numFmtId="0" fontId="11" fillId="5" borderId="0" xfId="0" applyFont="1" applyFill="1"/>
    <xf numFmtId="0" fontId="0" fillId="5" borderId="40" xfId="0" applyFill="1" applyBorder="1" applyAlignment="1">
      <alignment horizontal="left" vertical="center"/>
    </xf>
    <xf numFmtId="0" fontId="0" fillId="5" borderId="19" xfId="0" applyFill="1" applyBorder="1" applyAlignment="1">
      <alignment horizontal="center" vertical="center"/>
    </xf>
    <xf numFmtId="0" fontId="0" fillId="5" borderId="42" xfId="0" applyFill="1" applyBorder="1"/>
    <xf numFmtId="0" fontId="0" fillId="5" borderId="43" xfId="0" applyFill="1" applyBorder="1"/>
    <xf numFmtId="0" fontId="11" fillId="5" borderId="19" xfId="0" applyFont="1" applyFill="1" applyBorder="1"/>
    <xf numFmtId="0" fontId="0" fillId="5" borderId="44" xfId="0" applyFill="1" applyBorder="1"/>
    <xf numFmtId="0" fontId="0" fillId="5" borderId="40" xfId="0" applyFill="1" applyBorder="1" applyAlignment="1">
      <alignment vertical="center" wrapText="1"/>
    </xf>
    <xf numFmtId="0" fontId="0" fillId="5" borderId="41" xfId="0" applyFill="1" applyBorder="1" applyAlignment="1">
      <alignment horizontal="center" vertical="center" wrapText="1"/>
    </xf>
    <xf numFmtId="0" fontId="11" fillId="5" borderId="0" xfId="0" applyFont="1" applyFill="1" applyAlignment="1">
      <alignment wrapText="1"/>
    </xf>
    <xf numFmtId="0" fontId="0" fillId="5" borderId="44" xfId="0" applyFill="1" applyBorder="1" applyAlignment="1">
      <alignment vertical="center" wrapText="1"/>
    </xf>
    <xf numFmtId="0" fontId="11" fillId="5" borderId="19" xfId="0" applyFont="1" applyFill="1" applyBorder="1" applyAlignment="1">
      <alignment wrapText="1"/>
    </xf>
    <xf numFmtId="0" fontId="0" fillId="5" borderId="45" xfId="0" applyFill="1" applyBorder="1" applyAlignment="1">
      <alignment horizontal="left" vertical="center"/>
    </xf>
    <xf numFmtId="0" fontId="0" fillId="5" borderId="21" xfId="0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 applyAlignment="1">
      <alignment horizontal="center"/>
    </xf>
    <xf numFmtId="0" fontId="0" fillId="5" borderId="47" xfId="0" applyFill="1" applyBorder="1" applyAlignment="1">
      <alignment horizontal="center" vertical="center"/>
    </xf>
    <xf numFmtId="0" fontId="0" fillId="5" borderId="48" xfId="0" applyFill="1" applyBorder="1"/>
    <xf numFmtId="0" fontId="10" fillId="2" borderId="31" xfId="0" applyFont="1" applyFill="1" applyBorder="1"/>
    <xf numFmtId="0" fontId="10" fillId="2" borderId="0" xfId="0" applyFont="1" applyFill="1" applyAlignment="1">
      <alignment horizontal="center"/>
    </xf>
    <xf numFmtId="0" fontId="10" fillId="2" borderId="19" xfId="0" applyFont="1" applyFill="1" applyBorder="1" applyAlignment="1">
      <alignment horizontal="center" vertical="center"/>
    </xf>
    <xf numFmtId="0" fontId="10" fillId="2" borderId="49" xfId="0" applyFont="1" applyFill="1" applyBorder="1"/>
    <xf numFmtId="0" fontId="10" fillId="2" borderId="27" xfId="0" applyFont="1" applyFill="1" applyBorder="1"/>
    <xf numFmtId="0" fontId="10" fillId="2" borderId="28" xfId="0" applyFont="1" applyFill="1" applyBorder="1"/>
    <xf numFmtId="0" fontId="10" fillId="2" borderId="50" xfId="0" applyFont="1" applyFill="1" applyBorder="1"/>
    <xf numFmtId="0" fontId="10" fillId="2" borderId="51" xfId="0" applyFont="1" applyFill="1" applyBorder="1"/>
    <xf numFmtId="0" fontId="10" fillId="2" borderId="25" xfId="0" applyFont="1" applyFill="1" applyBorder="1"/>
    <xf numFmtId="0" fontId="0" fillId="5" borderId="5" xfId="0" applyFill="1" applyBorder="1" applyAlignment="1">
      <alignment horizontal="left" vertical="center"/>
    </xf>
    <xf numFmtId="0" fontId="0" fillId="5" borderId="52" xfId="0" applyFill="1" applyBorder="1"/>
    <xf numFmtId="0" fontId="0" fillId="5" borderId="19" xfId="0" applyFill="1" applyBorder="1"/>
    <xf numFmtId="0" fontId="19" fillId="5" borderId="40" xfId="0" applyFont="1" applyFill="1" applyBorder="1"/>
    <xf numFmtId="0" fontId="0" fillId="5" borderId="19" xfId="0" applyFill="1" applyBorder="1" applyAlignment="1">
      <alignment horizontal="center" vertical="center" wrapText="1"/>
    </xf>
    <xf numFmtId="0" fontId="19" fillId="5" borderId="44" xfId="0" applyFont="1" applyFill="1" applyBorder="1"/>
    <xf numFmtId="0" fontId="0" fillId="5" borderId="46" xfId="0" applyFill="1" applyBorder="1"/>
    <xf numFmtId="0" fontId="0" fillId="5" borderId="21" xfId="0" applyFill="1" applyBorder="1"/>
    <xf numFmtId="0" fontId="10" fillId="10" borderId="49" xfId="0" applyFont="1" applyFill="1" applyBorder="1"/>
    <xf numFmtId="0" fontId="10" fillId="10" borderId="27" xfId="0" applyFont="1" applyFill="1" applyBorder="1" applyAlignment="1">
      <alignment horizontal="center"/>
    </xf>
    <xf numFmtId="0" fontId="10" fillId="10" borderId="28" xfId="0" applyFont="1" applyFill="1" applyBorder="1" applyAlignment="1">
      <alignment horizontal="center" vertical="center"/>
    </xf>
    <xf numFmtId="0" fontId="10" fillId="10" borderId="27" xfId="0" applyFont="1" applyFill="1" applyBorder="1"/>
    <xf numFmtId="0" fontId="10" fillId="10" borderId="28" xfId="0" applyFont="1" applyFill="1" applyBorder="1"/>
    <xf numFmtId="0" fontId="10" fillId="10" borderId="50" xfId="0" applyFont="1" applyFill="1" applyBorder="1"/>
    <xf numFmtId="0" fontId="10" fillId="10" borderId="51" xfId="0" applyFont="1" applyFill="1" applyBorder="1"/>
    <xf numFmtId="0" fontId="10" fillId="10" borderId="25" xfId="0" applyFont="1" applyFill="1" applyBorder="1"/>
    <xf numFmtId="0" fontId="0" fillId="5" borderId="53" xfId="0" applyFill="1" applyBorder="1"/>
    <xf numFmtId="0" fontId="20" fillId="5" borderId="0" xfId="0" applyFont="1" applyFill="1" applyAlignment="1">
      <alignment horizontal="right" vertical="center"/>
    </xf>
    <xf numFmtId="0" fontId="0" fillId="5" borderId="17" xfId="0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vertical="center" wrapText="1"/>
    </xf>
    <xf numFmtId="0" fontId="2" fillId="0" borderId="59" xfId="0" applyFont="1" applyBorder="1" applyAlignment="1">
      <alignment vertical="center" wrapText="1"/>
    </xf>
    <xf numFmtId="0" fontId="2" fillId="0" borderId="60" xfId="0" applyFont="1" applyBorder="1" applyAlignment="1">
      <alignment vertical="center" wrapText="1"/>
    </xf>
    <xf numFmtId="0" fontId="2" fillId="0" borderId="61" xfId="0" applyFont="1" applyBorder="1" applyAlignment="1">
      <alignment vertical="center" wrapText="1"/>
    </xf>
    <xf numFmtId="0" fontId="2" fillId="0" borderId="62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" fillId="0" borderId="57" xfId="0" applyFont="1" applyBorder="1" applyAlignment="1">
      <alignment vertical="center" wrapText="1"/>
    </xf>
    <xf numFmtId="0" fontId="2" fillId="0" borderId="63" xfId="0" applyFont="1" applyBorder="1" applyAlignment="1">
      <alignment vertical="center" wrapText="1"/>
    </xf>
    <xf numFmtId="0" fontId="2" fillId="0" borderId="64" xfId="0" applyFont="1" applyBorder="1" applyAlignment="1">
      <alignment vertical="center" wrapText="1"/>
    </xf>
    <xf numFmtId="0" fontId="2" fillId="0" borderId="65" xfId="0" applyFont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/>
    <xf numFmtId="165" fontId="0" fillId="12" borderId="8" xfId="0" applyNumberFormat="1" applyFill="1" applyBorder="1" applyAlignment="1">
      <alignment horizontal="center" vertical="center"/>
    </xf>
    <xf numFmtId="165" fontId="0" fillId="12" borderId="5" xfId="0" applyNumberFormat="1" applyFill="1" applyBorder="1" applyAlignment="1">
      <alignment horizontal="center" vertical="center"/>
    </xf>
    <xf numFmtId="165" fontId="0" fillId="12" borderId="1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14" borderId="8" xfId="0" applyNumberFormat="1" applyFill="1" applyBorder="1" applyAlignment="1">
      <alignment horizontal="center" vertical="center"/>
    </xf>
    <xf numFmtId="165" fontId="0" fillId="14" borderId="5" xfId="0" applyNumberFormat="1" applyFill="1" applyBorder="1" applyAlignment="1">
      <alignment horizontal="center" vertical="center"/>
    </xf>
    <xf numFmtId="165" fontId="0" fillId="14" borderId="1" xfId="0" applyNumberForma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9" fontId="2" fillId="5" borderId="2" xfId="1" applyFont="1" applyFill="1" applyBorder="1" applyAlignment="1">
      <alignment vertical="center"/>
    </xf>
    <xf numFmtId="165" fontId="0" fillId="5" borderId="8" xfId="0" applyNumberFormat="1" applyFill="1" applyBorder="1" applyAlignment="1">
      <alignment horizontal="center" vertical="center"/>
    </xf>
    <xf numFmtId="165" fontId="0" fillId="5" borderId="5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6" borderId="2" xfId="0" applyFill="1" applyBorder="1"/>
    <xf numFmtId="0" fontId="0" fillId="22" borderId="0" xfId="0" applyFill="1"/>
    <xf numFmtId="0" fontId="0" fillId="16" borderId="0" xfId="0" applyFill="1"/>
    <xf numFmtId="0" fontId="2" fillId="16" borderId="0" xfId="0" applyFont="1" applyFill="1"/>
    <xf numFmtId="0" fontId="0" fillId="0" borderId="0" xfId="0" applyFill="1" applyBorder="1" applyAlignment="1"/>
    <xf numFmtId="0" fontId="2" fillId="0" borderId="8" xfId="0" applyNumberFormat="1" applyFont="1" applyFill="1" applyBorder="1" applyAlignment="1" applyProtection="1">
      <alignment horizontal="center" vertical="center"/>
    </xf>
    <xf numFmtId="0" fontId="3" fillId="0" borderId="8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>
      <alignment horizontal="center" vertical="center"/>
    </xf>
    <xf numFmtId="0" fontId="3" fillId="0" borderId="9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" fillId="0" borderId="7" xfId="0" applyNumberFormat="1" applyFont="1" applyFill="1" applyBorder="1" applyAlignment="1" applyProtection="1">
      <alignment horizontal="center" vertical="center"/>
    </xf>
    <xf numFmtId="0" fontId="2" fillId="0" borderId="3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/>
    </xf>
    <xf numFmtId="0" fontId="2" fillId="0" borderId="66" xfId="0" applyFont="1" applyBorder="1" applyAlignment="1">
      <alignment horizontal="distributed" vertical="center"/>
    </xf>
    <xf numFmtId="0" fontId="3" fillId="0" borderId="6" xfId="0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>
      <alignment horizontal="center" vertical="center"/>
    </xf>
    <xf numFmtId="0" fontId="29" fillId="0" borderId="0" xfId="0" applyFont="1" applyFill="1" applyAlignment="1">
      <alignment vertical="center"/>
    </xf>
    <xf numFmtId="0" fontId="31" fillId="0" borderId="0" xfId="0" applyFont="1"/>
    <xf numFmtId="0" fontId="31" fillId="0" borderId="0" xfId="0" applyFont="1" applyAlignment="1">
      <alignment horizontal="left" vertical="center"/>
    </xf>
    <xf numFmtId="0" fontId="32" fillId="8" borderId="0" xfId="3" applyFont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30" fillId="6" borderId="0" xfId="0" applyFont="1" applyFill="1"/>
    <xf numFmtId="0" fontId="10" fillId="6" borderId="0" xfId="0" applyFont="1" applyFill="1" applyAlignment="1">
      <alignment horizontal="left" vertical="center" indent="1"/>
    </xf>
    <xf numFmtId="0" fontId="0" fillId="6" borderId="0" xfId="0" applyFill="1" applyAlignment="1">
      <alignment horizontal="left" vertical="center" indent="1"/>
    </xf>
    <xf numFmtId="0" fontId="30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0" fillId="0" borderId="6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7" xfId="0" quotePrefix="1" applyBorder="1" applyAlignment="1">
      <alignment horizontal="center"/>
    </xf>
    <xf numFmtId="0" fontId="0" fillId="0" borderId="17" xfId="0" quotePrefix="1" applyBorder="1" applyAlignment="1">
      <alignment horizontal="center" wrapText="1"/>
    </xf>
    <xf numFmtId="0" fontId="33" fillId="0" borderId="0" xfId="0" quotePrefix="1" applyFont="1" applyAlignment="1">
      <alignment horizontal="left" vertical="center" indent="1"/>
    </xf>
    <xf numFmtId="0" fontId="0" fillId="0" borderId="17" xfId="0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9" fontId="2" fillId="2" borderId="10" xfId="1" applyFont="1" applyFill="1" applyBorder="1" applyAlignment="1">
      <alignment horizontal="center" vertical="center"/>
    </xf>
    <xf numFmtId="9" fontId="2" fillId="2" borderId="6" xfId="1" applyFont="1" applyFill="1" applyBorder="1" applyAlignment="1">
      <alignment horizontal="center" vertical="center"/>
    </xf>
    <xf numFmtId="9" fontId="2" fillId="2" borderId="3" xfId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0" fillId="22" borderId="0" xfId="0" applyFont="1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9" fontId="2" fillId="2" borderId="11" xfId="1" applyFont="1" applyFill="1" applyBorder="1" applyAlignment="1">
      <alignment horizontal="center" vertical="center"/>
    </xf>
    <xf numFmtId="9" fontId="2" fillId="2" borderId="7" xfId="1" applyFont="1" applyFill="1" applyBorder="1" applyAlignment="1">
      <alignment horizontal="center" vertical="center"/>
    </xf>
    <xf numFmtId="9" fontId="2" fillId="2" borderId="4" xfId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9" fontId="2" fillId="2" borderId="11" xfId="1" applyFont="1" applyFill="1" applyBorder="1" applyAlignment="1">
      <alignment horizontal="center" vertical="center" wrapText="1"/>
    </xf>
    <xf numFmtId="9" fontId="2" fillId="2" borderId="7" xfId="1" applyFont="1" applyFill="1" applyBorder="1" applyAlignment="1">
      <alignment horizontal="center" vertical="center" wrapText="1"/>
    </xf>
    <xf numFmtId="9" fontId="2" fillId="2" borderId="4" xfId="1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9" fontId="17" fillId="0" borderId="15" xfId="1" applyFont="1" applyFill="1" applyBorder="1" applyAlignment="1">
      <alignment horizontal="center" vertical="center"/>
    </xf>
    <xf numFmtId="9" fontId="17" fillId="0" borderId="13" xfId="1" applyFont="1" applyFill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5" fontId="0" fillId="0" borderId="17" xfId="1" applyNumberFormat="1" applyFont="1" applyBorder="1" applyAlignment="1">
      <alignment horizontal="center" vertical="center"/>
    </xf>
    <xf numFmtId="165" fontId="0" fillId="0" borderId="10" xfId="1" applyNumberFormat="1" applyFont="1" applyBorder="1" applyAlignment="1">
      <alignment horizontal="center" vertical="center"/>
    </xf>
    <xf numFmtId="164" fontId="0" fillId="0" borderId="17" xfId="1" applyNumberFormat="1" applyFont="1" applyBorder="1" applyAlignment="1">
      <alignment horizontal="center" vertical="center"/>
    </xf>
    <xf numFmtId="164" fontId="2" fillId="0" borderId="17" xfId="1" applyNumberFormat="1" applyFont="1" applyFill="1" applyBorder="1" applyAlignment="1">
      <alignment horizontal="center" vertical="center"/>
    </xf>
    <xf numFmtId="164" fontId="16" fillId="10" borderId="14" xfId="0" applyNumberFormat="1" applyFont="1" applyFill="1" applyBorder="1" applyAlignment="1">
      <alignment horizontal="center" vertical="center"/>
    </xf>
    <xf numFmtId="164" fontId="16" fillId="10" borderId="13" xfId="0" applyNumberFormat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9" fontId="16" fillId="0" borderId="15" xfId="1" applyFont="1" applyBorder="1" applyAlignment="1">
      <alignment horizontal="center" vertical="center"/>
    </xf>
    <xf numFmtId="9" fontId="16" fillId="0" borderId="13" xfId="1" applyFont="1" applyBorder="1" applyAlignment="1">
      <alignment horizontal="center" vertical="center"/>
    </xf>
    <xf numFmtId="0" fontId="25" fillId="21" borderId="0" xfId="0" applyFont="1" applyFill="1" applyAlignment="1">
      <alignment horizontal="center" vertical="center"/>
    </xf>
    <xf numFmtId="0" fontId="10" fillId="5" borderId="23" xfId="0" applyFont="1" applyFill="1" applyBorder="1" applyAlignment="1">
      <alignment horizontal="center"/>
    </xf>
    <xf numFmtId="0" fontId="10" fillId="5" borderId="25" xfId="0" applyFont="1" applyFill="1" applyBorder="1" applyAlignment="1">
      <alignment horizontal="center"/>
    </xf>
    <xf numFmtId="0" fontId="0" fillId="18" borderId="27" xfId="0" quotePrefix="1" applyFill="1" applyBorder="1" applyAlignment="1">
      <alignment horizontal="left" vertical="top" wrapText="1"/>
    </xf>
    <xf numFmtId="0" fontId="0" fillId="18" borderId="27" xfId="0" applyFill="1" applyBorder="1" applyAlignment="1">
      <alignment horizontal="left" vertical="top" wrapText="1"/>
    </xf>
    <xf numFmtId="0" fontId="0" fillId="18" borderId="0" xfId="0" applyFill="1" applyAlignment="1">
      <alignment horizontal="left" vertical="top" wrapText="1"/>
    </xf>
    <xf numFmtId="0" fontId="9" fillId="17" borderId="27" xfId="0" applyFont="1" applyFill="1" applyBorder="1" applyAlignment="1">
      <alignment horizontal="center" vertical="center" wrapText="1"/>
    </xf>
    <xf numFmtId="0" fontId="9" fillId="1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9" fillId="17" borderId="49" xfId="0" applyFont="1" applyFill="1" applyBorder="1" applyAlignment="1">
      <alignment horizontal="center" vertical="center" wrapText="1"/>
    </xf>
    <xf numFmtId="0" fontId="9" fillId="17" borderId="28" xfId="0" applyFont="1" applyFill="1" applyBorder="1" applyAlignment="1">
      <alignment horizontal="center" vertical="center" wrapText="1"/>
    </xf>
    <xf numFmtId="0" fontId="9" fillId="17" borderId="56" xfId="0" applyFont="1" applyFill="1" applyBorder="1" applyAlignment="1">
      <alignment horizontal="center" vertical="center" wrapText="1"/>
    </xf>
    <xf numFmtId="0" fontId="9" fillId="17" borderId="21" xfId="0" applyFont="1" applyFill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9" fillId="17" borderId="26" xfId="0" applyFont="1" applyFill="1" applyBorder="1" applyAlignment="1">
      <alignment horizontal="center" vertical="center" wrapText="1"/>
    </xf>
    <xf numFmtId="0" fontId="9" fillId="17" borderId="29" xfId="0" applyFont="1" applyFill="1" applyBorder="1" applyAlignment="1">
      <alignment horizontal="center" vertical="center" wrapText="1"/>
    </xf>
    <xf numFmtId="0" fontId="9" fillId="17" borderId="30" xfId="0" applyFont="1" applyFill="1" applyBorder="1" applyAlignment="1">
      <alignment horizontal="center" vertical="center" wrapText="1"/>
    </xf>
    <xf numFmtId="0" fontId="0" fillId="18" borderId="28" xfId="0" applyFill="1" applyBorder="1" applyAlignment="1">
      <alignment horizontal="left" vertical="top" wrapText="1"/>
    </xf>
    <xf numFmtId="0" fontId="0" fillId="18" borderId="19" xfId="0" applyFill="1" applyBorder="1" applyAlignment="1">
      <alignment horizontal="left" vertical="top" wrapText="1"/>
    </xf>
    <xf numFmtId="0" fontId="0" fillId="18" borderId="20" xfId="0" applyFill="1" applyBorder="1" applyAlignment="1">
      <alignment horizontal="left" vertical="top" wrapText="1"/>
    </xf>
    <xf numFmtId="0" fontId="0" fillId="18" borderId="21" xfId="0" applyFill="1" applyBorder="1" applyAlignment="1">
      <alignment horizontal="left" vertical="top" wrapText="1"/>
    </xf>
    <xf numFmtId="0" fontId="18" fillId="19" borderId="33" xfId="0" applyFont="1" applyFill="1" applyBorder="1" applyAlignment="1">
      <alignment horizontal="center"/>
    </xf>
    <xf numFmtId="0" fontId="18" fillId="19" borderId="34" xfId="0" applyFont="1" applyFill="1" applyBorder="1" applyAlignment="1">
      <alignment horizontal="center"/>
    </xf>
  </cellXfs>
  <cellStyles count="5">
    <cellStyle name="Bad" xfId="3" builtinId="27"/>
    <cellStyle name="Good" xfId="2" builtinId="26"/>
    <cellStyle name="Neutral" xfId="4" builtinId="28"/>
    <cellStyle name="Normal" xfId="0" builtinId="0"/>
    <cellStyle name="Percent" xfId="1" builtinId="5"/>
  </cellStyles>
  <dxfs count="1129"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CC66FF"/>
        </patternFill>
      </fill>
    </dxf>
    <dxf>
      <fill>
        <patternFill>
          <bgColor rgb="FFC7F0C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A7A7"/>
        </patternFill>
      </fill>
    </dxf>
    <dxf>
      <fill>
        <patternFill>
          <bgColor theme="7" tint="0.59996337778862885"/>
        </patternFill>
      </fill>
    </dxf>
    <dxf>
      <fill>
        <patternFill>
          <bgColor rgb="FFD5ABF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0" tint="-0.34998626667073579"/>
        </patternFill>
      </fill>
    </dxf>
    <dxf>
      <fill>
        <patternFill>
          <bgColor rgb="FFCC66FF"/>
        </patternFill>
      </fill>
    </dxf>
    <dxf>
      <fill>
        <patternFill>
          <bgColor rgb="FFCC66FF"/>
        </patternFill>
      </fill>
    </dxf>
    <dxf>
      <fill>
        <patternFill>
          <bgColor rgb="FFC7F0C6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A7A7"/>
        </patternFill>
      </fill>
    </dxf>
    <dxf>
      <fill>
        <patternFill>
          <bgColor theme="7" tint="0.59996337778862885"/>
        </patternFill>
      </fill>
    </dxf>
    <dxf>
      <fill>
        <patternFill>
          <bgColor rgb="FFD5AB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D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7757"/>
        </patternFill>
      </fill>
    </dxf>
    <dxf>
      <fill>
        <patternFill>
          <bgColor rgb="FFFE9E8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E9E82"/>
        </patternFill>
      </fill>
    </dxf>
    <dxf>
      <fill>
        <patternFill>
          <bgColor rgb="FFFF7757"/>
        </patternFill>
      </fill>
    </dxf>
  </dxfs>
  <tableStyles count="0" defaultTableStyle="TableStyleMedium2" defaultPivotStyle="PivotStyleLight16"/>
  <colors>
    <mruColors>
      <color rgb="FFD5ABFF"/>
      <color rgb="FFFFA7A7"/>
      <color rgb="FFCC99FF"/>
      <color rgb="FFC7F0C6"/>
      <color rgb="FFFFAA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609574</xdr:colOff>
      <xdr:row>21</xdr:row>
      <xdr:rowOff>98214</xdr:rowOff>
    </xdr:from>
    <xdr:to>
      <xdr:col>25</xdr:col>
      <xdr:colOff>552685</xdr:colOff>
      <xdr:row>23</xdr:row>
      <xdr:rowOff>164629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35F0FE-C671-4656-9AD6-5FA4686C0B1F}"/>
            </a:ext>
          </a:extLst>
        </xdr:cNvPr>
        <xdr:cNvSpPr txBox="1"/>
      </xdr:nvSpPr>
      <xdr:spPr>
        <a:xfrm>
          <a:off x="44790334" y="3420534"/>
          <a:ext cx="2381511" cy="432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states of input</a:t>
          </a:r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(2) </a:t>
          </a:r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domain</a:t>
          </a:r>
          <a:endParaRPr lang="en-CA">
            <a:effectLst/>
          </a:endParaRPr>
        </a:p>
      </xdr:txBody>
    </xdr:sp>
    <xdr:clientData/>
  </xdr:twoCellAnchor>
  <xdr:twoCellAnchor>
    <xdr:from>
      <xdr:col>20</xdr:col>
      <xdr:colOff>682037</xdr:colOff>
      <xdr:row>22</xdr:row>
      <xdr:rowOff>105833</xdr:rowOff>
    </xdr:from>
    <xdr:to>
      <xdr:col>21</xdr:col>
      <xdr:colOff>609574</xdr:colOff>
      <xdr:row>22</xdr:row>
      <xdr:rowOff>122603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3B429B7-A574-43F5-A957-070653852830}"/>
            </a:ext>
          </a:extLst>
        </xdr:cNvPr>
        <xdr:cNvCxnSpPr>
          <a:endCxn id="2" idx="1"/>
        </xdr:cNvCxnSpPr>
      </xdr:nvCxnSpPr>
      <xdr:spPr>
        <a:xfrm>
          <a:off x="44176997" y="3611033"/>
          <a:ext cx="613337" cy="1677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511796</xdr:colOff>
      <xdr:row>31</xdr:row>
      <xdr:rowOff>78480</xdr:rowOff>
    </xdr:from>
    <xdr:to>
      <xdr:col>16</xdr:col>
      <xdr:colOff>329370</xdr:colOff>
      <xdr:row>33</xdr:row>
      <xdr:rowOff>123344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308E83-994B-490A-B935-EA15A0059589}"/>
            </a:ext>
          </a:extLst>
        </xdr:cNvPr>
        <xdr:cNvSpPr txBox="1"/>
      </xdr:nvSpPr>
      <xdr:spPr>
        <a:xfrm>
          <a:off x="38360336" y="5244840"/>
          <a:ext cx="2339794" cy="4106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states of input</a:t>
          </a:r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(1) </a:t>
          </a:r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domain</a:t>
          </a:r>
          <a:endParaRPr lang="en-CA">
            <a:effectLst/>
          </a:endParaRPr>
        </a:p>
      </xdr:txBody>
    </xdr:sp>
    <xdr:clientData/>
  </xdr:twoCellAnchor>
  <xdr:twoCellAnchor>
    <xdr:from>
      <xdr:col>15</xdr:col>
      <xdr:colOff>398329</xdr:colOff>
      <xdr:row>28</xdr:row>
      <xdr:rowOff>35607</xdr:rowOff>
    </xdr:from>
    <xdr:to>
      <xdr:col>15</xdr:col>
      <xdr:colOff>543014</xdr:colOff>
      <xdr:row>31</xdr:row>
      <xdr:rowOff>78480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F077EB0-CC30-47BB-B776-EABE0FB52BDD}"/>
            </a:ext>
          </a:extLst>
        </xdr:cNvPr>
        <xdr:cNvCxnSpPr>
          <a:endCxn id="4" idx="0"/>
        </xdr:cNvCxnSpPr>
      </xdr:nvCxnSpPr>
      <xdr:spPr>
        <a:xfrm flipH="1">
          <a:off x="39534649" y="4653327"/>
          <a:ext cx="144685" cy="59151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489542</xdr:colOff>
      <xdr:row>12</xdr:row>
      <xdr:rowOff>10006</xdr:rowOff>
    </xdr:from>
    <xdr:to>
      <xdr:col>9</xdr:col>
      <xdr:colOff>344129</xdr:colOff>
      <xdr:row>16</xdr:row>
      <xdr:rowOff>159450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EBC3F69E-3E32-474D-858F-642594476AD6}"/>
            </a:ext>
          </a:extLst>
        </xdr:cNvPr>
        <xdr:cNvSpPr/>
      </xdr:nvSpPr>
      <xdr:spPr>
        <a:xfrm>
          <a:off x="10311722" y="2440786"/>
          <a:ext cx="2468247" cy="903824"/>
        </a:xfrm>
        <a:prstGeom prst="rightArrow">
          <a:avLst>
            <a:gd name="adj1" fmla="val 50000"/>
            <a:gd name="adj2" fmla="val 27994"/>
          </a:avLst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CA" sz="1100">
              <a:solidFill>
                <a:sysClr val="windowText" lastClr="000000"/>
              </a:solidFill>
            </a:rPr>
            <a:t>Simplifying the states descriptions</a:t>
          </a:r>
          <a:r>
            <a:rPr lang="en-CA" sz="1100" baseline="0">
              <a:solidFill>
                <a:sysClr val="windowText" lastClr="000000"/>
              </a:solidFill>
            </a:rPr>
            <a:t> f</a:t>
          </a:r>
          <a:r>
            <a:rPr lang="en-CA" sz="1100">
              <a:solidFill>
                <a:sysClr val="windowText" lastClr="000000"/>
              </a:solidFill>
            </a:rPr>
            <a:t>or implanting in Altarica</a:t>
          </a:r>
        </a:p>
      </xdr:txBody>
    </xdr:sp>
    <xdr:clientData/>
  </xdr:twoCellAnchor>
  <xdr:twoCellAnchor editAs="oneCell">
    <xdr:from>
      <xdr:col>0</xdr:col>
      <xdr:colOff>54162</xdr:colOff>
      <xdr:row>49</xdr:row>
      <xdr:rowOff>242383</xdr:rowOff>
    </xdr:from>
    <xdr:to>
      <xdr:col>3</xdr:col>
      <xdr:colOff>2992995</xdr:colOff>
      <xdr:row>55</xdr:row>
      <xdr:rowOff>21252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FA3A2A-D0F4-456B-B81F-E8AC43F2F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162" y="1522543"/>
          <a:ext cx="5855388" cy="9313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</xdr:pic>
    <xdr:clientData/>
  </xdr:twoCellAnchor>
  <xdr:twoCellAnchor>
    <xdr:from>
      <xdr:col>16</xdr:col>
      <xdr:colOff>13148</xdr:colOff>
      <xdr:row>48</xdr:row>
      <xdr:rowOff>95287</xdr:rowOff>
    </xdr:from>
    <xdr:to>
      <xdr:col>18</xdr:col>
      <xdr:colOff>524846</xdr:colOff>
      <xdr:row>48</xdr:row>
      <xdr:rowOff>95287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FFC5F96-35A5-481F-B1C6-119C7907B7BF}"/>
            </a:ext>
          </a:extLst>
        </xdr:cNvPr>
        <xdr:cNvCxnSpPr/>
      </xdr:nvCxnSpPr>
      <xdr:spPr>
        <a:xfrm>
          <a:off x="12791888" y="1192567"/>
          <a:ext cx="2165238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165252</xdr:colOff>
      <xdr:row>48</xdr:row>
      <xdr:rowOff>9181</xdr:rowOff>
    </xdr:from>
    <xdr:to>
      <xdr:col>23</xdr:col>
      <xdr:colOff>549190</xdr:colOff>
      <xdr:row>53</xdr:row>
      <xdr:rowOff>168484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688AC5-8A30-413E-BEE5-53C0B67F2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30292" y="1106461"/>
          <a:ext cx="993538" cy="1054653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F61F-6FA8-4C5B-A21E-A361ED595AAA}">
  <sheetPr codeName="Sheet11"/>
  <dimension ref="A1:EE148"/>
  <sheetViews>
    <sheetView tabSelected="1" topLeftCell="AB3" zoomScale="114" zoomScaleNormal="79" workbookViewId="0">
      <selection activeCell="AM7" sqref="AM7"/>
    </sheetView>
  </sheetViews>
  <sheetFormatPr defaultRowHeight="14.4" x14ac:dyDescent="0.3"/>
  <cols>
    <col min="1" max="1" width="10.5546875" customWidth="1"/>
    <col min="2" max="2" width="9.88671875" customWidth="1"/>
    <col min="4" max="4" width="12.5546875" bestFit="1" customWidth="1"/>
    <col min="5" max="5" width="11.5546875" bestFit="1" customWidth="1"/>
    <col min="6" max="6" width="11.33203125" customWidth="1"/>
    <col min="7" max="8" width="11.6640625" bestFit="1" customWidth="1"/>
    <col min="9" max="9" width="11.33203125" bestFit="1" customWidth="1"/>
    <col min="13" max="13" width="12.33203125" bestFit="1" customWidth="1"/>
    <col min="14" max="16" width="11.5546875" bestFit="1" customWidth="1"/>
    <col min="17" max="17" width="11.6640625" bestFit="1" customWidth="1"/>
    <col min="18" max="18" width="11.5546875" bestFit="1" customWidth="1"/>
    <col min="22" max="22" width="12.44140625" bestFit="1" customWidth="1"/>
    <col min="23" max="25" width="11.5546875" bestFit="1" customWidth="1"/>
    <col min="26" max="26" width="11.6640625" bestFit="1" customWidth="1"/>
    <col min="27" max="27" width="11.21875" bestFit="1" customWidth="1"/>
    <col min="30" max="30" width="11.21875" bestFit="1" customWidth="1"/>
    <col min="31" max="31" width="11.33203125" bestFit="1" customWidth="1"/>
    <col min="32" max="34" width="12.33203125" bestFit="1" customWidth="1"/>
    <col min="35" max="35" width="11.5546875" bestFit="1" customWidth="1"/>
    <col min="36" max="36" width="10.5546875" customWidth="1"/>
    <col min="37" max="37" width="9.6640625" customWidth="1"/>
    <col min="38" max="38" width="9.109375" customWidth="1"/>
    <col min="39" max="39" width="10.44140625" customWidth="1"/>
    <col min="40" max="40" width="11.77734375" bestFit="1" customWidth="1"/>
    <col min="41" max="44" width="12.109375" bestFit="1" customWidth="1"/>
    <col min="45" max="45" width="9.88671875" bestFit="1" customWidth="1"/>
    <col min="49" max="49" width="10.21875" bestFit="1" customWidth="1"/>
    <col min="50" max="51" width="11.21875" bestFit="1" customWidth="1"/>
    <col min="52" max="52" width="11.33203125" customWidth="1"/>
    <col min="53" max="53" width="11.5546875" bestFit="1" customWidth="1"/>
    <col min="54" max="54" width="9.33203125" bestFit="1" customWidth="1"/>
    <col min="55" max="55" width="10.109375" customWidth="1"/>
    <col min="56" max="56" width="9.44140625" customWidth="1"/>
    <col min="57" max="57" width="10.21875" customWidth="1"/>
    <col min="58" max="62" width="11.5546875" bestFit="1" customWidth="1"/>
    <col min="63" max="63" width="9.33203125" bestFit="1" customWidth="1"/>
    <col min="67" max="67" width="11.6640625" bestFit="1" customWidth="1"/>
    <col min="68" max="71" width="12.109375" bestFit="1" customWidth="1"/>
    <col min="72" max="72" width="9.88671875" bestFit="1" customWidth="1"/>
    <col min="76" max="76" width="11.77734375" bestFit="1" customWidth="1"/>
    <col min="77" max="80" width="12.109375" bestFit="1" customWidth="1"/>
    <col min="81" max="81" width="11" bestFit="1" customWidth="1"/>
    <col min="85" max="85" width="14.88671875" customWidth="1"/>
    <col min="86" max="88" width="11.33203125" bestFit="1" customWidth="1"/>
    <col min="89" max="89" width="11.77734375" bestFit="1" customWidth="1"/>
    <col min="90" max="90" width="9.44140625" bestFit="1" customWidth="1"/>
    <col min="94" max="94" width="11.77734375" bestFit="1" customWidth="1"/>
    <col min="95" max="97" width="11.33203125" bestFit="1" customWidth="1"/>
    <col min="98" max="98" width="11.77734375" bestFit="1" customWidth="1"/>
    <col min="99" max="99" width="9.44140625" bestFit="1" customWidth="1"/>
    <col min="103" max="103" width="11.77734375" bestFit="1" customWidth="1"/>
    <col min="104" max="106" width="11.33203125" bestFit="1" customWidth="1"/>
    <col min="107" max="107" width="11.77734375" bestFit="1" customWidth="1"/>
    <col min="108" max="108" width="9.44140625" bestFit="1" customWidth="1"/>
  </cols>
  <sheetData>
    <row r="1" spans="1:45" s="53" customFormat="1" x14ac:dyDescent="0.3"/>
    <row r="2" spans="1:45" s="288" customFormat="1" x14ac:dyDescent="0.3">
      <c r="A2" s="347" t="s">
        <v>27</v>
      </c>
      <c r="B2" s="347"/>
    </row>
    <row r="3" spans="1:45" x14ac:dyDescent="0.3">
      <c r="A3" s="347"/>
      <c r="B3" s="347"/>
    </row>
    <row r="4" spans="1:45" x14ac:dyDescent="0.3">
      <c r="E4" s="43" t="s">
        <v>53</v>
      </c>
      <c r="I4" s="38" t="s">
        <v>218</v>
      </c>
      <c r="K4" s="53"/>
      <c r="L4" s="53"/>
      <c r="M4" s="53"/>
      <c r="N4" s="43" t="s">
        <v>53</v>
      </c>
      <c r="O4" s="53"/>
      <c r="P4" s="53"/>
      <c r="Q4" s="53"/>
      <c r="R4" s="38" t="s">
        <v>219</v>
      </c>
      <c r="T4" s="53"/>
      <c r="U4" s="53"/>
      <c r="V4" s="53"/>
      <c r="W4" s="43" t="s">
        <v>55</v>
      </c>
      <c r="X4" s="53"/>
      <c r="Y4" s="53"/>
      <c r="Z4" s="53"/>
      <c r="AA4" s="38" t="s">
        <v>38</v>
      </c>
      <c r="AC4" s="53"/>
      <c r="AD4" s="53"/>
      <c r="AE4" s="53"/>
      <c r="AF4" s="287" t="s">
        <v>55</v>
      </c>
      <c r="AG4" s="53"/>
      <c r="AH4" s="53"/>
      <c r="AI4" s="53"/>
      <c r="AJ4" s="38" t="s">
        <v>307</v>
      </c>
    </row>
    <row r="5" spans="1:45" ht="15.6" x14ac:dyDescent="0.3">
      <c r="C5" s="14"/>
      <c r="D5" s="15" t="s">
        <v>35</v>
      </c>
      <c r="E5" s="365" t="s">
        <v>42</v>
      </c>
      <c r="F5" s="365"/>
      <c r="G5" s="365"/>
      <c r="H5" s="365"/>
      <c r="I5" s="365"/>
      <c r="J5" s="14"/>
      <c r="K5" s="53"/>
      <c r="L5" s="14"/>
      <c r="M5" s="66" t="s">
        <v>35</v>
      </c>
      <c r="N5" s="365" t="s">
        <v>42</v>
      </c>
      <c r="O5" s="365"/>
      <c r="P5" s="365"/>
      <c r="Q5" s="365"/>
      <c r="R5" s="365"/>
      <c r="T5" s="53"/>
      <c r="U5" s="14"/>
      <c r="V5" s="66" t="s">
        <v>35</v>
      </c>
      <c r="W5" s="365" t="s">
        <v>219</v>
      </c>
      <c r="X5" s="365"/>
      <c r="Y5" s="365"/>
      <c r="Z5" s="365"/>
      <c r="AA5" s="365"/>
      <c r="AC5" s="53"/>
      <c r="AD5" s="14"/>
      <c r="AE5" s="66" t="s">
        <v>35</v>
      </c>
      <c r="AF5" s="365" t="s">
        <v>38</v>
      </c>
      <c r="AG5" s="365"/>
      <c r="AH5" s="365"/>
      <c r="AI5" s="365"/>
      <c r="AJ5" s="365"/>
    </row>
    <row r="6" spans="1:45" x14ac:dyDescent="0.3">
      <c r="C6" s="20" t="s">
        <v>13</v>
      </c>
      <c r="D6" s="13" t="s">
        <v>29</v>
      </c>
      <c r="E6" s="65" t="s">
        <v>3</v>
      </c>
      <c r="F6" s="64" t="s">
        <v>22</v>
      </c>
      <c r="G6" s="64" t="s">
        <v>20</v>
      </c>
      <c r="H6" s="64" t="s">
        <v>18</v>
      </c>
      <c r="I6" s="292" t="s">
        <v>270</v>
      </c>
      <c r="J6" s="5"/>
      <c r="K6" s="53"/>
      <c r="L6" s="20" t="s">
        <v>13</v>
      </c>
      <c r="M6" s="13" t="s">
        <v>29</v>
      </c>
      <c r="N6" s="65" t="s">
        <v>3</v>
      </c>
      <c r="O6" s="64" t="s">
        <v>22</v>
      </c>
      <c r="P6" s="64" t="s">
        <v>20</v>
      </c>
      <c r="Q6" s="64" t="s">
        <v>18</v>
      </c>
      <c r="R6" s="292" t="s">
        <v>270</v>
      </c>
      <c r="T6" s="53"/>
      <c r="U6" s="20" t="s">
        <v>13</v>
      </c>
      <c r="V6" s="13" t="s">
        <v>29</v>
      </c>
      <c r="W6" s="65" t="s">
        <v>3</v>
      </c>
      <c r="X6" s="64" t="s">
        <v>22</v>
      </c>
      <c r="Y6" s="64" t="s">
        <v>20</v>
      </c>
      <c r="Z6" s="64" t="s">
        <v>18</v>
      </c>
      <c r="AA6" s="292" t="s">
        <v>270</v>
      </c>
      <c r="AC6" s="53"/>
      <c r="AD6" s="20" t="s">
        <v>13</v>
      </c>
      <c r="AE6" s="13" t="s">
        <v>29</v>
      </c>
      <c r="AF6" s="25" t="s">
        <v>3</v>
      </c>
      <c r="AG6" s="64" t="s">
        <v>22</v>
      </c>
      <c r="AH6" s="64" t="s">
        <v>20</v>
      </c>
      <c r="AI6" s="64" t="s">
        <v>18</v>
      </c>
      <c r="AJ6" s="293" t="s">
        <v>270</v>
      </c>
    </row>
    <row r="7" spans="1:45" x14ac:dyDescent="0.3">
      <c r="B7" s="42" t="s">
        <v>54</v>
      </c>
      <c r="C7" s="361" t="s">
        <v>74</v>
      </c>
      <c r="D7" s="65" t="s">
        <v>3</v>
      </c>
      <c r="E7" s="18" t="s">
        <v>3</v>
      </c>
      <c r="F7" s="61" t="s">
        <v>22</v>
      </c>
      <c r="G7" s="61" t="s">
        <v>20</v>
      </c>
      <c r="H7" s="61" t="s">
        <v>18</v>
      </c>
      <c r="I7" s="292" t="s">
        <v>270</v>
      </c>
      <c r="J7" s="14"/>
      <c r="K7" s="42" t="s">
        <v>54</v>
      </c>
      <c r="L7" s="342" t="s">
        <v>207</v>
      </c>
      <c r="M7" s="65" t="s">
        <v>3</v>
      </c>
      <c r="N7" s="18" t="s">
        <v>3</v>
      </c>
      <c r="O7" s="61" t="s">
        <v>22</v>
      </c>
      <c r="P7" s="61" t="s">
        <v>20</v>
      </c>
      <c r="Q7" s="61" t="s">
        <v>18</v>
      </c>
      <c r="R7" s="292" t="s">
        <v>270</v>
      </c>
      <c r="S7" s="53"/>
      <c r="T7" s="42" t="s">
        <v>55</v>
      </c>
      <c r="U7" s="361" t="s">
        <v>218</v>
      </c>
      <c r="V7" s="65" t="s">
        <v>3</v>
      </c>
      <c r="W7" s="18" t="s">
        <v>3</v>
      </c>
      <c r="X7" s="61" t="s">
        <v>22</v>
      </c>
      <c r="Y7" s="61" t="s">
        <v>20</v>
      </c>
      <c r="Z7" s="61" t="s">
        <v>18</v>
      </c>
      <c r="AA7" s="292" t="s">
        <v>270</v>
      </c>
      <c r="AC7" s="42" t="s">
        <v>54</v>
      </c>
      <c r="AD7" s="364" t="s">
        <v>38</v>
      </c>
      <c r="AE7" s="65" t="s">
        <v>3</v>
      </c>
      <c r="AF7" s="17" t="s">
        <v>3</v>
      </c>
      <c r="AG7" s="61" t="s">
        <v>3</v>
      </c>
      <c r="AH7" s="61" t="s">
        <v>3</v>
      </c>
      <c r="AI7" s="61" t="s">
        <v>3</v>
      </c>
      <c r="AJ7" s="60" t="s">
        <v>3</v>
      </c>
    </row>
    <row r="8" spans="1:45" x14ac:dyDescent="0.3">
      <c r="C8" s="345"/>
      <c r="D8" s="51" t="s">
        <v>9</v>
      </c>
      <c r="E8" s="17" t="s">
        <v>20</v>
      </c>
      <c r="F8" s="281" t="s">
        <v>20</v>
      </c>
      <c r="G8" s="281" t="s">
        <v>20</v>
      </c>
      <c r="H8" s="281" t="s">
        <v>18</v>
      </c>
      <c r="I8" s="294" t="s">
        <v>270</v>
      </c>
      <c r="J8" s="14"/>
      <c r="K8" s="53"/>
      <c r="L8" s="343"/>
      <c r="M8" s="51" t="s">
        <v>212</v>
      </c>
      <c r="N8" s="17" t="s">
        <v>22</v>
      </c>
      <c r="O8" s="281" t="s">
        <v>22</v>
      </c>
      <c r="P8" s="281" t="s">
        <v>20</v>
      </c>
      <c r="Q8" s="281" t="s">
        <v>18</v>
      </c>
      <c r="R8" s="294" t="s">
        <v>270</v>
      </c>
      <c r="S8" s="53"/>
      <c r="T8" s="53"/>
      <c r="U8" s="345"/>
      <c r="V8" s="51" t="s">
        <v>22</v>
      </c>
      <c r="W8" s="17" t="s">
        <v>22</v>
      </c>
      <c r="X8" s="281" t="s">
        <v>22</v>
      </c>
      <c r="Y8" s="281" t="s">
        <v>20</v>
      </c>
      <c r="Z8" s="281" t="s">
        <v>18</v>
      </c>
      <c r="AA8" s="294" t="s">
        <v>270</v>
      </c>
      <c r="AC8" s="53"/>
      <c r="AD8" s="362"/>
      <c r="AE8" s="51" t="s">
        <v>22</v>
      </c>
      <c r="AF8" s="17" t="s">
        <v>3</v>
      </c>
      <c r="AG8" s="281" t="s">
        <v>22</v>
      </c>
      <c r="AH8" s="281" t="s">
        <v>22</v>
      </c>
      <c r="AI8" s="281" t="s">
        <v>22</v>
      </c>
      <c r="AJ8" s="57" t="s">
        <v>22</v>
      </c>
    </row>
    <row r="9" spans="1:45" x14ac:dyDescent="0.3">
      <c r="C9" s="345"/>
      <c r="D9" s="51" t="s">
        <v>8</v>
      </c>
      <c r="E9" s="17" t="s">
        <v>18</v>
      </c>
      <c r="F9" s="281" t="s">
        <v>18</v>
      </c>
      <c r="G9" s="281" t="s">
        <v>18</v>
      </c>
      <c r="H9" s="281" t="s">
        <v>18</v>
      </c>
      <c r="I9" s="294" t="s">
        <v>270</v>
      </c>
      <c r="J9" s="14"/>
      <c r="K9" s="53"/>
      <c r="L9" s="343"/>
      <c r="M9" s="51" t="s">
        <v>213</v>
      </c>
      <c r="N9" s="17" t="s">
        <v>20</v>
      </c>
      <c r="O9" s="281" t="s">
        <v>20</v>
      </c>
      <c r="P9" s="281" t="s">
        <v>20</v>
      </c>
      <c r="Q9" s="281" t="s">
        <v>18</v>
      </c>
      <c r="R9" s="294" t="s">
        <v>270</v>
      </c>
      <c r="S9" s="53"/>
      <c r="T9" s="53"/>
      <c r="U9" s="345"/>
      <c r="V9" s="51" t="s">
        <v>20</v>
      </c>
      <c r="W9" s="17" t="s">
        <v>20</v>
      </c>
      <c r="X9" s="281" t="s">
        <v>20</v>
      </c>
      <c r="Y9" s="281" t="s">
        <v>20</v>
      </c>
      <c r="Z9" s="281" t="s">
        <v>18</v>
      </c>
      <c r="AA9" s="294" t="s">
        <v>270</v>
      </c>
      <c r="AC9" s="53"/>
      <c r="AD9" s="362"/>
      <c r="AE9" s="51" t="s">
        <v>20</v>
      </c>
      <c r="AF9" s="17" t="s">
        <v>3</v>
      </c>
      <c r="AG9" s="281" t="s">
        <v>22</v>
      </c>
      <c r="AH9" s="281" t="s">
        <v>20</v>
      </c>
      <c r="AI9" s="281" t="s">
        <v>20</v>
      </c>
      <c r="AJ9" s="57" t="s">
        <v>20</v>
      </c>
    </row>
    <row r="10" spans="1:45" x14ac:dyDescent="0.3">
      <c r="C10" s="345"/>
      <c r="D10" s="51" t="s">
        <v>7</v>
      </c>
      <c r="E10" s="17" t="s">
        <v>270</v>
      </c>
      <c r="F10" s="281" t="s">
        <v>270</v>
      </c>
      <c r="G10" s="281" t="s">
        <v>270</v>
      </c>
      <c r="H10" s="281" t="s">
        <v>270</v>
      </c>
      <c r="I10" s="294" t="s">
        <v>270</v>
      </c>
      <c r="J10" s="14"/>
      <c r="K10" s="53"/>
      <c r="L10" s="343"/>
      <c r="M10" s="51" t="s">
        <v>214</v>
      </c>
      <c r="N10" s="17" t="s">
        <v>18</v>
      </c>
      <c r="O10" s="281" t="s">
        <v>18</v>
      </c>
      <c r="P10" s="281" t="s">
        <v>18</v>
      </c>
      <c r="Q10" s="281" t="s">
        <v>18</v>
      </c>
      <c r="R10" s="294" t="s">
        <v>270</v>
      </c>
      <c r="S10" s="53"/>
      <c r="T10" s="53"/>
      <c r="U10" s="345"/>
      <c r="V10" s="51" t="s">
        <v>18</v>
      </c>
      <c r="W10" s="17" t="s">
        <v>18</v>
      </c>
      <c r="X10" s="281" t="s">
        <v>18</v>
      </c>
      <c r="Y10" s="281" t="s">
        <v>18</v>
      </c>
      <c r="Z10" s="281" t="s">
        <v>18</v>
      </c>
      <c r="AA10" s="294" t="s">
        <v>270</v>
      </c>
      <c r="AC10" s="53"/>
      <c r="AD10" s="362"/>
      <c r="AE10" s="51" t="s">
        <v>18</v>
      </c>
      <c r="AF10" s="17" t="s">
        <v>3</v>
      </c>
      <c r="AG10" s="281" t="s">
        <v>22</v>
      </c>
      <c r="AH10" s="281" t="s">
        <v>20</v>
      </c>
      <c r="AI10" s="281" t="s">
        <v>18</v>
      </c>
      <c r="AJ10" s="57" t="s">
        <v>18</v>
      </c>
    </row>
    <row r="11" spans="1:45" x14ac:dyDescent="0.3">
      <c r="C11" s="346"/>
      <c r="D11" s="52" t="s">
        <v>271</v>
      </c>
      <c r="E11" s="296" t="s">
        <v>270</v>
      </c>
      <c r="F11" s="297" t="s">
        <v>270</v>
      </c>
      <c r="G11" s="297" t="s">
        <v>270</v>
      </c>
      <c r="H11" s="297" t="s">
        <v>270</v>
      </c>
      <c r="I11" s="298" t="s">
        <v>270</v>
      </c>
      <c r="J11" s="14"/>
      <c r="K11" s="53"/>
      <c r="L11" s="344"/>
      <c r="M11" s="52" t="s">
        <v>215</v>
      </c>
      <c r="N11" s="296" t="s">
        <v>270</v>
      </c>
      <c r="O11" s="297" t="s">
        <v>270</v>
      </c>
      <c r="P11" s="297" t="s">
        <v>270</v>
      </c>
      <c r="Q11" s="297" t="s">
        <v>270</v>
      </c>
      <c r="R11" s="298" t="s">
        <v>270</v>
      </c>
      <c r="S11" s="53"/>
      <c r="T11" s="53"/>
      <c r="U11" s="346"/>
      <c r="V11" s="299" t="s">
        <v>270</v>
      </c>
      <c r="W11" s="296" t="s">
        <v>270</v>
      </c>
      <c r="X11" s="297" t="s">
        <v>270</v>
      </c>
      <c r="Y11" s="297" t="s">
        <v>270</v>
      </c>
      <c r="Z11" s="297" t="s">
        <v>270</v>
      </c>
      <c r="AA11" s="298" t="s">
        <v>270</v>
      </c>
      <c r="AC11" s="53"/>
      <c r="AD11" s="363"/>
      <c r="AE11" s="305" t="s">
        <v>270</v>
      </c>
      <c r="AF11" s="16" t="s">
        <v>3</v>
      </c>
      <c r="AG11" s="55" t="s">
        <v>22</v>
      </c>
      <c r="AH11" s="55" t="s">
        <v>20</v>
      </c>
      <c r="AI11" s="55" t="s">
        <v>18</v>
      </c>
      <c r="AJ11" s="298" t="s">
        <v>270</v>
      </c>
    </row>
    <row r="13" spans="1:45" s="53" customFormat="1" x14ac:dyDescent="0.3"/>
    <row r="14" spans="1:45" s="288" customFormat="1" x14ac:dyDescent="0.3">
      <c r="A14" s="347" t="s">
        <v>39</v>
      </c>
      <c r="B14" s="347"/>
    </row>
    <row r="15" spans="1:45" x14ac:dyDescent="0.3">
      <c r="A15" s="347"/>
      <c r="B15" s="347"/>
    </row>
    <row r="16" spans="1:45" x14ac:dyDescent="0.3">
      <c r="B16" s="53"/>
      <c r="C16" s="53"/>
      <c r="D16" s="53"/>
      <c r="E16" s="287" t="s">
        <v>53</v>
      </c>
      <c r="F16" s="53"/>
      <c r="G16" s="53"/>
      <c r="H16" s="53"/>
      <c r="I16" s="38" t="s">
        <v>226</v>
      </c>
      <c r="J16" s="53"/>
      <c r="K16" s="53"/>
      <c r="L16" s="53"/>
      <c r="M16" s="53"/>
      <c r="N16" s="287" t="s">
        <v>53</v>
      </c>
      <c r="O16" s="53"/>
      <c r="P16" s="53"/>
      <c r="Q16" s="53"/>
      <c r="R16" s="38" t="s">
        <v>218</v>
      </c>
      <c r="S16" s="53"/>
      <c r="T16" s="53"/>
      <c r="U16" s="53"/>
      <c r="V16" s="53"/>
      <c r="W16" s="287" t="s">
        <v>53</v>
      </c>
      <c r="X16" s="53"/>
      <c r="Y16" s="53"/>
      <c r="Z16" s="53"/>
      <c r="AA16" s="38" t="s">
        <v>219</v>
      </c>
      <c r="AB16" s="53"/>
      <c r="AC16" s="53"/>
      <c r="AD16" s="53"/>
      <c r="AE16" s="53"/>
      <c r="AF16" s="287" t="s">
        <v>55</v>
      </c>
      <c r="AG16" s="53"/>
      <c r="AH16" s="53"/>
      <c r="AI16" s="53"/>
      <c r="AJ16" s="38" t="s">
        <v>227</v>
      </c>
      <c r="AK16" s="53"/>
      <c r="AL16" s="53"/>
      <c r="AM16" s="53"/>
      <c r="AN16" s="53"/>
      <c r="AO16" s="287" t="s">
        <v>55</v>
      </c>
      <c r="AP16" s="53"/>
      <c r="AQ16" s="53"/>
      <c r="AR16" s="53"/>
      <c r="AS16" s="38" t="s">
        <v>38</v>
      </c>
    </row>
    <row r="17" spans="1:72" ht="15.6" x14ac:dyDescent="0.3">
      <c r="B17" s="53"/>
      <c r="C17" s="14"/>
      <c r="D17" s="66" t="s">
        <v>39</v>
      </c>
      <c r="E17" s="359" t="s">
        <v>42</v>
      </c>
      <c r="F17" s="359"/>
      <c r="G17" s="359"/>
      <c r="H17" s="359"/>
      <c r="I17" s="359"/>
      <c r="J17" s="53"/>
      <c r="K17" s="53"/>
      <c r="L17" s="14"/>
      <c r="M17" s="66" t="s">
        <v>39</v>
      </c>
      <c r="N17" s="359" t="s">
        <v>42</v>
      </c>
      <c r="O17" s="359"/>
      <c r="P17" s="359"/>
      <c r="Q17" s="359"/>
      <c r="R17" s="359"/>
      <c r="S17" s="53"/>
      <c r="T17" s="53"/>
      <c r="U17" s="14"/>
      <c r="V17" s="66" t="s">
        <v>39</v>
      </c>
      <c r="W17" s="359" t="s">
        <v>42</v>
      </c>
      <c r="X17" s="359"/>
      <c r="Y17" s="359"/>
      <c r="Z17" s="359"/>
      <c r="AA17" s="359"/>
      <c r="AB17" s="53"/>
      <c r="AC17" s="53"/>
      <c r="AD17" s="14"/>
      <c r="AE17" s="66" t="s">
        <v>39</v>
      </c>
      <c r="AF17" s="365" t="s">
        <v>218</v>
      </c>
      <c r="AG17" s="365"/>
      <c r="AH17" s="365"/>
      <c r="AI17" s="365"/>
      <c r="AJ17" s="365"/>
      <c r="AK17" s="53"/>
      <c r="AL17" s="53"/>
      <c r="AM17" s="14"/>
      <c r="AN17" s="66" t="s">
        <v>39</v>
      </c>
      <c r="AO17" s="365" t="s">
        <v>219</v>
      </c>
      <c r="AP17" s="365"/>
      <c r="AQ17" s="365"/>
      <c r="AR17" s="365"/>
      <c r="AS17" s="365"/>
    </row>
    <row r="18" spans="1:72" x14ac:dyDescent="0.3">
      <c r="B18" s="53"/>
      <c r="C18" s="20" t="s">
        <v>27</v>
      </c>
      <c r="D18" s="13" t="s">
        <v>29</v>
      </c>
      <c r="E18" s="65" t="s">
        <v>3</v>
      </c>
      <c r="F18" s="64" t="s">
        <v>22</v>
      </c>
      <c r="G18" s="64" t="s">
        <v>20</v>
      </c>
      <c r="H18" s="64" t="s">
        <v>18</v>
      </c>
      <c r="I18" s="293" t="s">
        <v>270</v>
      </c>
      <c r="J18" s="53"/>
      <c r="K18" s="53"/>
      <c r="L18" s="20" t="s">
        <v>13</v>
      </c>
      <c r="M18" s="13" t="s">
        <v>29</v>
      </c>
      <c r="N18" s="65" t="s">
        <v>3</v>
      </c>
      <c r="O18" s="64" t="s">
        <v>22</v>
      </c>
      <c r="P18" s="64" t="s">
        <v>20</v>
      </c>
      <c r="Q18" s="64" t="s">
        <v>18</v>
      </c>
      <c r="R18" s="293" t="s">
        <v>270</v>
      </c>
      <c r="S18" s="53"/>
      <c r="T18" s="53"/>
      <c r="U18" s="20" t="s">
        <v>13</v>
      </c>
      <c r="V18" s="13" t="s">
        <v>29</v>
      </c>
      <c r="W18" s="65" t="s">
        <v>3</v>
      </c>
      <c r="X18" s="64" t="s">
        <v>22</v>
      </c>
      <c r="Y18" s="64" t="s">
        <v>20</v>
      </c>
      <c r="Z18" s="64" t="s">
        <v>18</v>
      </c>
      <c r="AA18" s="292" t="s">
        <v>270</v>
      </c>
      <c r="AB18" s="53"/>
      <c r="AC18" s="53"/>
      <c r="AD18" s="20" t="s">
        <v>13</v>
      </c>
      <c r="AE18" s="13" t="s">
        <v>29</v>
      </c>
      <c r="AF18" s="65" t="s">
        <v>3</v>
      </c>
      <c r="AG18" s="64" t="s">
        <v>22</v>
      </c>
      <c r="AH18" s="64" t="s">
        <v>20</v>
      </c>
      <c r="AI18" s="64" t="s">
        <v>18</v>
      </c>
      <c r="AJ18" s="292" t="s">
        <v>270</v>
      </c>
      <c r="AK18" s="53"/>
      <c r="AL18" s="53"/>
      <c r="AM18" s="20" t="s">
        <v>13</v>
      </c>
      <c r="AN18" s="13" t="s">
        <v>29</v>
      </c>
      <c r="AO18" s="65" t="s">
        <v>3</v>
      </c>
      <c r="AP18" s="64" t="s">
        <v>22</v>
      </c>
      <c r="AQ18" s="64" t="s">
        <v>20</v>
      </c>
      <c r="AR18" s="64" t="s">
        <v>18</v>
      </c>
      <c r="AS18" s="292" t="s">
        <v>270</v>
      </c>
    </row>
    <row r="19" spans="1:72" x14ac:dyDescent="0.3">
      <c r="B19" s="42" t="s">
        <v>54</v>
      </c>
      <c r="C19" s="364" t="s">
        <v>38</v>
      </c>
      <c r="D19" s="62" t="s">
        <v>3</v>
      </c>
      <c r="E19" s="18" t="s">
        <v>3</v>
      </c>
      <c r="F19" s="61" t="s">
        <v>22</v>
      </c>
      <c r="G19" s="61" t="s">
        <v>20</v>
      </c>
      <c r="H19" s="61" t="s">
        <v>18</v>
      </c>
      <c r="I19" s="292" t="s">
        <v>270</v>
      </c>
      <c r="J19" s="53"/>
      <c r="K19" s="42" t="s">
        <v>54</v>
      </c>
      <c r="L19" s="361" t="s">
        <v>74</v>
      </c>
      <c r="M19" s="65" t="s">
        <v>3</v>
      </c>
      <c r="N19" s="18" t="s">
        <v>3</v>
      </c>
      <c r="O19" s="61" t="s">
        <v>22</v>
      </c>
      <c r="P19" s="61" t="s">
        <v>20</v>
      </c>
      <c r="Q19" s="61" t="s">
        <v>18</v>
      </c>
      <c r="R19" s="292" t="s">
        <v>270</v>
      </c>
      <c r="S19" s="53"/>
      <c r="T19" s="42" t="s">
        <v>54</v>
      </c>
      <c r="U19" s="342" t="s">
        <v>207</v>
      </c>
      <c r="V19" s="65" t="s">
        <v>3</v>
      </c>
      <c r="W19" s="18" t="s">
        <v>3</v>
      </c>
      <c r="X19" s="61" t="s">
        <v>22</v>
      </c>
      <c r="Y19" s="61" t="s">
        <v>20</v>
      </c>
      <c r="Z19" s="61" t="s">
        <v>18</v>
      </c>
      <c r="AA19" s="292" t="s">
        <v>270</v>
      </c>
      <c r="AB19" s="53"/>
      <c r="AC19" s="42" t="s">
        <v>55</v>
      </c>
      <c r="AD19" s="364" t="s">
        <v>226</v>
      </c>
      <c r="AE19" s="62" t="s">
        <v>3</v>
      </c>
      <c r="AF19" s="18" t="s">
        <v>3</v>
      </c>
      <c r="AG19" s="61" t="s">
        <v>22</v>
      </c>
      <c r="AH19" s="61" t="s">
        <v>20</v>
      </c>
      <c r="AI19" s="61" t="s">
        <v>18</v>
      </c>
      <c r="AJ19" s="292" t="s">
        <v>270</v>
      </c>
      <c r="AK19" s="53"/>
      <c r="AL19" s="42" t="s">
        <v>55</v>
      </c>
      <c r="AM19" s="361" t="s">
        <v>227</v>
      </c>
      <c r="AN19" s="65" t="s">
        <v>3</v>
      </c>
      <c r="AO19" s="18" t="s">
        <v>3</v>
      </c>
      <c r="AP19" s="61" t="s">
        <v>22</v>
      </c>
      <c r="AQ19" s="61" t="s">
        <v>20</v>
      </c>
      <c r="AR19" s="61" t="s">
        <v>18</v>
      </c>
      <c r="AS19" s="292" t="s">
        <v>270</v>
      </c>
    </row>
    <row r="20" spans="1:72" x14ac:dyDescent="0.3">
      <c r="B20" s="53"/>
      <c r="C20" s="362"/>
      <c r="D20" s="59" t="s">
        <v>22</v>
      </c>
      <c r="E20" s="17" t="s">
        <v>20</v>
      </c>
      <c r="F20" s="281" t="s">
        <v>20</v>
      </c>
      <c r="G20" s="281" t="s">
        <v>20</v>
      </c>
      <c r="H20" s="281" t="s">
        <v>18</v>
      </c>
      <c r="I20" s="294" t="s">
        <v>270</v>
      </c>
      <c r="J20" s="53"/>
      <c r="K20" s="53"/>
      <c r="L20" s="345"/>
      <c r="M20" s="51" t="s">
        <v>9</v>
      </c>
      <c r="N20" s="17" t="s">
        <v>20</v>
      </c>
      <c r="O20" s="281" t="s">
        <v>20</v>
      </c>
      <c r="P20" s="281" t="s">
        <v>20</v>
      </c>
      <c r="Q20" s="281" t="s">
        <v>18</v>
      </c>
      <c r="R20" s="294" t="s">
        <v>270</v>
      </c>
      <c r="S20" s="53"/>
      <c r="T20" s="53"/>
      <c r="U20" s="343"/>
      <c r="V20" s="51" t="s">
        <v>212</v>
      </c>
      <c r="W20" s="17" t="s">
        <v>20</v>
      </c>
      <c r="X20" s="281" t="s">
        <v>20</v>
      </c>
      <c r="Y20" s="281" t="s">
        <v>20</v>
      </c>
      <c r="Z20" s="281" t="s">
        <v>18</v>
      </c>
      <c r="AA20" s="294" t="s">
        <v>270</v>
      </c>
      <c r="AB20" s="53"/>
      <c r="AC20" s="53"/>
      <c r="AD20" s="362"/>
      <c r="AE20" s="59" t="s">
        <v>22</v>
      </c>
      <c r="AF20" s="17" t="s">
        <v>22</v>
      </c>
      <c r="AG20" s="281" t="s">
        <v>22</v>
      </c>
      <c r="AH20" s="281" t="s">
        <v>20</v>
      </c>
      <c r="AI20" s="281" t="s">
        <v>18</v>
      </c>
      <c r="AJ20" s="294" t="s">
        <v>270</v>
      </c>
      <c r="AK20" s="53"/>
      <c r="AL20" s="53"/>
      <c r="AM20" s="345"/>
      <c r="AN20" s="51" t="s">
        <v>22</v>
      </c>
      <c r="AO20" s="17" t="s">
        <v>22</v>
      </c>
      <c r="AP20" s="281" t="s">
        <v>22</v>
      </c>
      <c r="AQ20" s="281" t="s">
        <v>20</v>
      </c>
      <c r="AR20" s="281" t="s">
        <v>18</v>
      </c>
      <c r="AS20" s="294" t="s">
        <v>270</v>
      </c>
    </row>
    <row r="21" spans="1:72" x14ac:dyDescent="0.3">
      <c r="B21" s="53"/>
      <c r="C21" s="362"/>
      <c r="D21" s="59" t="s">
        <v>20</v>
      </c>
      <c r="E21" s="17" t="s">
        <v>18</v>
      </c>
      <c r="F21" s="281" t="s">
        <v>18</v>
      </c>
      <c r="G21" s="281" t="s">
        <v>18</v>
      </c>
      <c r="H21" s="281" t="s">
        <v>18</v>
      </c>
      <c r="I21" s="294" t="s">
        <v>270</v>
      </c>
      <c r="J21" s="53"/>
      <c r="K21" s="53"/>
      <c r="L21" s="345"/>
      <c r="M21" s="51" t="s">
        <v>8</v>
      </c>
      <c r="N21" s="17" t="s">
        <v>18</v>
      </c>
      <c r="O21" s="281" t="s">
        <v>18</v>
      </c>
      <c r="P21" s="281" t="s">
        <v>18</v>
      </c>
      <c r="Q21" s="281" t="s">
        <v>18</v>
      </c>
      <c r="R21" s="294" t="s">
        <v>270</v>
      </c>
      <c r="S21" s="53"/>
      <c r="T21" s="53"/>
      <c r="U21" s="343"/>
      <c r="V21" s="51" t="s">
        <v>213</v>
      </c>
      <c r="W21" s="17" t="s">
        <v>18</v>
      </c>
      <c r="X21" s="281" t="s">
        <v>18</v>
      </c>
      <c r="Y21" s="281" t="s">
        <v>18</v>
      </c>
      <c r="Z21" s="281" t="s">
        <v>18</v>
      </c>
      <c r="AA21" s="294" t="s">
        <v>270</v>
      </c>
      <c r="AB21" s="53"/>
      <c r="AC21" s="53"/>
      <c r="AD21" s="362"/>
      <c r="AE21" s="59" t="s">
        <v>20</v>
      </c>
      <c r="AF21" s="17" t="s">
        <v>20</v>
      </c>
      <c r="AG21" s="281" t="s">
        <v>20</v>
      </c>
      <c r="AH21" s="281" t="s">
        <v>20</v>
      </c>
      <c r="AI21" s="281" t="s">
        <v>18</v>
      </c>
      <c r="AJ21" s="294" t="s">
        <v>270</v>
      </c>
      <c r="AK21" s="53"/>
      <c r="AL21" s="53"/>
      <c r="AM21" s="345"/>
      <c r="AN21" s="51" t="s">
        <v>20</v>
      </c>
      <c r="AO21" s="17" t="s">
        <v>20</v>
      </c>
      <c r="AP21" s="281" t="s">
        <v>20</v>
      </c>
      <c r="AQ21" s="281" t="s">
        <v>20</v>
      </c>
      <c r="AR21" s="281" t="s">
        <v>18</v>
      </c>
      <c r="AS21" s="294" t="s">
        <v>270</v>
      </c>
    </row>
    <row r="22" spans="1:72" x14ac:dyDescent="0.3">
      <c r="B22" s="53"/>
      <c r="C22" s="362"/>
      <c r="D22" s="59" t="s">
        <v>18</v>
      </c>
      <c r="E22" s="17" t="s">
        <v>270</v>
      </c>
      <c r="F22" s="281" t="s">
        <v>270</v>
      </c>
      <c r="G22" s="281" t="s">
        <v>270</v>
      </c>
      <c r="H22" s="281" t="s">
        <v>270</v>
      </c>
      <c r="I22" s="294" t="s">
        <v>270</v>
      </c>
      <c r="J22" s="53"/>
      <c r="K22" s="53"/>
      <c r="L22" s="345"/>
      <c r="M22" s="51" t="s">
        <v>7</v>
      </c>
      <c r="N22" s="17" t="s">
        <v>270</v>
      </c>
      <c r="O22" s="281" t="s">
        <v>270</v>
      </c>
      <c r="P22" s="281" t="s">
        <v>270</v>
      </c>
      <c r="Q22" s="281" t="s">
        <v>270</v>
      </c>
      <c r="R22" s="294" t="s">
        <v>270</v>
      </c>
      <c r="S22" s="53"/>
      <c r="T22" s="53"/>
      <c r="U22" s="343"/>
      <c r="V22" s="51" t="s">
        <v>214</v>
      </c>
      <c r="W22" s="17" t="s">
        <v>270</v>
      </c>
      <c r="X22" s="281" t="s">
        <v>270</v>
      </c>
      <c r="Y22" s="281" t="s">
        <v>270</v>
      </c>
      <c r="Z22" s="281" t="s">
        <v>270</v>
      </c>
      <c r="AA22" s="294" t="s">
        <v>270</v>
      </c>
      <c r="AB22" s="53"/>
      <c r="AC22" s="53"/>
      <c r="AD22" s="362"/>
      <c r="AE22" s="59" t="s">
        <v>18</v>
      </c>
      <c r="AF22" s="17" t="s">
        <v>18</v>
      </c>
      <c r="AG22" s="281" t="s">
        <v>18</v>
      </c>
      <c r="AH22" s="281" t="s">
        <v>18</v>
      </c>
      <c r="AI22" s="281" t="s">
        <v>18</v>
      </c>
      <c r="AJ22" s="294" t="s">
        <v>270</v>
      </c>
      <c r="AK22" s="53"/>
      <c r="AL22" s="53"/>
      <c r="AM22" s="345"/>
      <c r="AN22" s="51" t="s">
        <v>18</v>
      </c>
      <c r="AO22" s="17" t="s">
        <v>18</v>
      </c>
      <c r="AP22" s="281" t="s">
        <v>18</v>
      </c>
      <c r="AQ22" s="281" t="s">
        <v>18</v>
      </c>
      <c r="AR22" s="281" t="s">
        <v>18</v>
      </c>
      <c r="AS22" s="294" t="s">
        <v>270</v>
      </c>
    </row>
    <row r="23" spans="1:72" x14ac:dyDescent="0.3">
      <c r="B23" s="53"/>
      <c r="C23" s="363"/>
      <c r="D23" s="304" t="s">
        <v>270</v>
      </c>
      <c r="E23" s="296" t="s">
        <v>270</v>
      </c>
      <c r="F23" s="297" t="s">
        <v>270</v>
      </c>
      <c r="G23" s="297" t="s">
        <v>270</v>
      </c>
      <c r="H23" s="297" t="s">
        <v>270</v>
      </c>
      <c r="I23" s="298" t="s">
        <v>270</v>
      </c>
      <c r="J23" s="53"/>
      <c r="K23" s="53"/>
      <c r="L23" s="346"/>
      <c r="M23" s="52" t="s">
        <v>271</v>
      </c>
      <c r="N23" s="296" t="s">
        <v>270</v>
      </c>
      <c r="O23" s="297" t="s">
        <v>270</v>
      </c>
      <c r="P23" s="297" t="s">
        <v>270</v>
      </c>
      <c r="Q23" s="297" t="s">
        <v>270</v>
      </c>
      <c r="R23" s="298" t="s">
        <v>270</v>
      </c>
      <c r="S23" s="53"/>
      <c r="T23" s="53"/>
      <c r="U23" s="344"/>
      <c r="V23" s="52" t="s">
        <v>215</v>
      </c>
      <c r="W23" s="296" t="s">
        <v>270</v>
      </c>
      <c r="X23" s="297" t="s">
        <v>270</v>
      </c>
      <c r="Y23" s="297" t="s">
        <v>270</v>
      </c>
      <c r="Z23" s="297" t="s">
        <v>270</v>
      </c>
      <c r="AA23" s="298" t="s">
        <v>270</v>
      </c>
      <c r="AB23" s="53"/>
      <c r="AC23" s="53"/>
      <c r="AD23" s="363"/>
      <c r="AE23" s="303" t="s">
        <v>270</v>
      </c>
      <c r="AF23" s="296" t="s">
        <v>270</v>
      </c>
      <c r="AG23" s="297" t="s">
        <v>270</v>
      </c>
      <c r="AH23" s="297" t="s">
        <v>270</v>
      </c>
      <c r="AI23" s="297" t="s">
        <v>270</v>
      </c>
      <c r="AJ23" s="298" t="s">
        <v>270</v>
      </c>
      <c r="AK23" s="53"/>
      <c r="AL23" s="53"/>
      <c r="AM23" s="346"/>
      <c r="AN23" s="299" t="s">
        <v>270</v>
      </c>
      <c r="AO23" s="296" t="s">
        <v>270</v>
      </c>
      <c r="AP23" s="297" t="s">
        <v>270</v>
      </c>
      <c r="AQ23" s="297" t="s">
        <v>270</v>
      </c>
      <c r="AR23" s="297" t="s">
        <v>270</v>
      </c>
      <c r="AS23" s="298" t="s">
        <v>270</v>
      </c>
    </row>
    <row r="24" spans="1:72" x14ac:dyDescent="0.3">
      <c r="AJ24" s="75"/>
    </row>
    <row r="25" spans="1:72" s="53" customFormat="1" x14ac:dyDescent="0.3">
      <c r="AJ25" s="75"/>
    </row>
    <row r="26" spans="1:72" s="288" customFormat="1" x14ac:dyDescent="0.3">
      <c r="A26" s="347" t="s">
        <v>90</v>
      </c>
      <c r="B26" s="348"/>
    </row>
    <row r="27" spans="1:72" x14ac:dyDescent="0.3">
      <c r="A27" s="348"/>
      <c r="B27" s="348"/>
      <c r="U27" s="33"/>
      <c r="V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</row>
    <row r="28" spans="1:72" x14ac:dyDescent="0.3">
      <c r="E28" s="43" t="s">
        <v>53</v>
      </c>
      <c r="F28" s="36"/>
      <c r="G28" s="36"/>
      <c r="H28" s="36"/>
      <c r="I28" s="43" t="s">
        <v>30</v>
      </c>
      <c r="N28" s="40" t="s">
        <v>53</v>
      </c>
      <c r="R28" s="38" t="s">
        <v>31</v>
      </c>
      <c r="S28" s="30"/>
      <c r="W28" s="40" t="s">
        <v>53</v>
      </c>
      <c r="AA28" s="38" t="s">
        <v>72</v>
      </c>
      <c r="AC28" s="53"/>
      <c r="AD28" s="53"/>
      <c r="AE28" s="53"/>
      <c r="AF28" s="40" t="s">
        <v>53</v>
      </c>
      <c r="AG28" s="53"/>
      <c r="AH28" s="53"/>
      <c r="AI28" s="53"/>
      <c r="AJ28" s="38" t="s">
        <v>211</v>
      </c>
      <c r="AL28" s="30"/>
      <c r="AM28" s="31"/>
      <c r="AN28" s="31"/>
      <c r="AO28" s="45" t="s">
        <v>55</v>
      </c>
      <c r="AP28" s="44"/>
      <c r="AQ28" s="44"/>
      <c r="AR28" s="44"/>
      <c r="AS28" s="45" t="s">
        <v>73</v>
      </c>
      <c r="AU28" s="68"/>
      <c r="AV28" s="69"/>
      <c r="AW28" s="69"/>
      <c r="AX28" s="74" t="s">
        <v>55</v>
      </c>
      <c r="AY28" s="73"/>
      <c r="AZ28" s="73"/>
      <c r="BA28" s="73"/>
      <c r="BB28" s="74" t="s">
        <v>216</v>
      </c>
      <c r="BC28" s="33"/>
      <c r="BD28" s="68"/>
      <c r="BE28" s="69"/>
      <c r="BF28" s="69"/>
      <c r="BG28" s="74" t="s">
        <v>55</v>
      </c>
      <c r="BH28" s="73"/>
      <c r="BI28" s="73"/>
      <c r="BJ28" s="73"/>
      <c r="BK28" s="74" t="s">
        <v>56</v>
      </c>
      <c r="BL28" s="33"/>
      <c r="BM28" s="33"/>
      <c r="BN28" s="33"/>
      <c r="BO28" s="33"/>
      <c r="BP28" s="272"/>
      <c r="BQ28" s="33"/>
      <c r="BR28" s="33"/>
      <c r="BS28" s="33"/>
      <c r="BT28" s="33"/>
    </row>
    <row r="29" spans="1:72" ht="15.6" x14ac:dyDescent="0.3">
      <c r="C29" s="14"/>
      <c r="D29" s="15" t="s">
        <v>34</v>
      </c>
      <c r="E29" s="339" t="s">
        <v>23</v>
      </c>
      <c r="F29" s="340"/>
      <c r="G29" s="340"/>
      <c r="H29" s="340"/>
      <c r="I29" s="341"/>
      <c r="L29" s="14"/>
      <c r="M29" s="15" t="s">
        <v>34</v>
      </c>
      <c r="N29" s="339" t="s">
        <v>23</v>
      </c>
      <c r="O29" s="340"/>
      <c r="P29" s="340"/>
      <c r="Q29" s="340"/>
      <c r="R29" s="341"/>
      <c r="S29" s="30"/>
      <c r="U29" s="14"/>
      <c r="V29" s="15" t="s">
        <v>34</v>
      </c>
      <c r="W29" s="339" t="s">
        <v>23</v>
      </c>
      <c r="X29" s="340"/>
      <c r="Y29" s="340"/>
      <c r="Z29" s="340"/>
      <c r="AA29" s="341"/>
      <c r="AC29" s="53"/>
      <c r="AD29" s="14"/>
      <c r="AE29" s="66" t="s">
        <v>34</v>
      </c>
      <c r="AF29" s="339" t="s">
        <v>23</v>
      </c>
      <c r="AG29" s="340"/>
      <c r="AH29" s="340"/>
      <c r="AI29" s="340"/>
      <c r="AJ29" s="341"/>
      <c r="AL29" s="30"/>
      <c r="AM29" s="31"/>
      <c r="AN29" s="15" t="s">
        <v>34</v>
      </c>
      <c r="AO29" s="339" t="s">
        <v>30</v>
      </c>
      <c r="AP29" s="340"/>
      <c r="AQ29" s="340"/>
      <c r="AR29" s="340"/>
      <c r="AS29" s="341"/>
      <c r="AU29" s="68"/>
      <c r="AV29" s="69"/>
      <c r="AW29" s="66" t="s">
        <v>34</v>
      </c>
      <c r="AX29" s="339" t="s">
        <v>211</v>
      </c>
      <c r="AY29" s="340"/>
      <c r="AZ29" s="340"/>
      <c r="BA29" s="340"/>
      <c r="BB29" s="341"/>
      <c r="BC29" s="33"/>
      <c r="BD29" s="68"/>
      <c r="BE29" s="69"/>
      <c r="BF29" s="66" t="s">
        <v>34</v>
      </c>
      <c r="BG29" s="339" t="s">
        <v>216</v>
      </c>
      <c r="BH29" s="340"/>
      <c r="BI29" s="340"/>
      <c r="BJ29" s="340"/>
      <c r="BK29" s="341"/>
      <c r="BL29" s="33"/>
      <c r="BM29" s="33"/>
      <c r="BN29" s="69"/>
      <c r="BO29" s="143"/>
      <c r="BP29" s="273"/>
      <c r="BQ29" s="273"/>
      <c r="BR29" s="273"/>
      <c r="BS29" s="273"/>
      <c r="BT29" s="273"/>
    </row>
    <row r="30" spans="1:72" x14ac:dyDescent="0.3">
      <c r="C30" s="20" t="s">
        <v>39</v>
      </c>
      <c r="D30" s="13" t="s">
        <v>26</v>
      </c>
      <c r="E30" s="65" t="s">
        <v>3</v>
      </c>
      <c r="F30" s="64" t="s">
        <v>21</v>
      </c>
      <c r="G30" s="295" t="s">
        <v>17</v>
      </c>
      <c r="H30" s="64" t="s">
        <v>268</v>
      </c>
      <c r="I30" s="294" t="s">
        <v>267</v>
      </c>
      <c r="J30" s="53"/>
      <c r="L30" s="20" t="s">
        <v>13</v>
      </c>
      <c r="M30" s="13" t="s">
        <v>26</v>
      </c>
      <c r="N30" s="12" t="s">
        <v>3</v>
      </c>
      <c r="O30" s="11" t="s">
        <v>21</v>
      </c>
      <c r="P30" s="301" t="s">
        <v>17</v>
      </c>
      <c r="Q30" s="64" t="s">
        <v>268</v>
      </c>
      <c r="R30" s="306" t="s">
        <v>267</v>
      </c>
      <c r="S30" s="30"/>
      <c r="U30" s="20" t="s">
        <v>83</v>
      </c>
      <c r="V30" s="13" t="s">
        <v>26</v>
      </c>
      <c r="W30" s="12" t="s">
        <v>3</v>
      </c>
      <c r="X30" s="11" t="s">
        <v>21</v>
      </c>
      <c r="Y30" s="295" t="s">
        <v>17</v>
      </c>
      <c r="Z30" s="11" t="s">
        <v>268</v>
      </c>
      <c r="AA30" s="294" t="s">
        <v>267</v>
      </c>
      <c r="AC30" s="53"/>
      <c r="AD30" s="20" t="s">
        <v>13</v>
      </c>
      <c r="AE30" s="13" t="s">
        <v>26</v>
      </c>
      <c r="AF30" s="65" t="s">
        <v>3</v>
      </c>
      <c r="AG30" s="64" t="s">
        <v>21</v>
      </c>
      <c r="AH30" s="295" t="s">
        <v>17</v>
      </c>
      <c r="AI30" s="64" t="s">
        <v>268</v>
      </c>
      <c r="AJ30" s="294" t="s">
        <v>267</v>
      </c>
      <c r="AL30" s="30"/>
      <c r="AM30" s="32"/>
      <c r="AN30" s="21" t="s">
        <v>40</v>
      </c>
      <c r="AO30" s="12" t="s">
        <v>3</v>
      </c>
      <c r="AP30" s="11" t="s">
        <v>21</v>
      </c>
      <c r="AQ30" s="295" t="s">
        <v>17</v>
      </c>
      <c r="AR30" s="11" t="s">
        <v>268</v>
      </c>
      <c r="AS30" s="294" t="s">
        <v>267</v>
      </c>
      <c r="AU30" s="68"/>
      <c r="AV30" s="70"/>
      <c r="AW30" s="67" t="s">
        <v>40</v>
      </c>
      <c r="AX30" s="65" t="s">
        <v>3</v>
      </c>
      <c r="AY30" s="64" t="s">
        <v>21</v>
      </c>
      <c r="AZ30" s="295" t="s">
        <v>17</v>
      </c>
      <c r="BA30" s="64" t="s">
        <v>268</v>
      </c>
      <c r="BB30" s="294" t="s">
        <v>267</v>
      </c>
      <c r="BC30" s="33"/>
      <c r="BD30" s="68"/>
      <c r="BE30" s="70"/>
      <c r="BF30" s="67" t="s">
        <v>40</v>
      </c>
      <c r="BG30" s="65" t="s">
        <v>3</v>
      </c>
      <c r="BH30" s="64" t="s">
        <v>21</v>
      </c>
      <c r="BI30" s="295" t="s">
        <v>17</v>
      </c>
      <c r="BJ30" s="64" t="s">
        <v>268</v>
      </c>
      <c r="BK30" s="294" t="s">
        <v>267</v>
      </c>
      <c r="BL30" s="33"/>
      <c r="BM30" s="33"/>
      <c r="BN30" s="69"/>
      <c r="BO30" s="145"/>
      <c r="BP30" s="146"/>
      <c r="BQ30" s="146"/>
      <c r="BR30" s="146"/>
      <c r="BS30" s="146"/>
      <c r="BT30" s="146"/>
    </row>
    <row r="31" spans="1:72" x14ac:dyDescent="0.3">
      <c r="B31" s="42" t="s">
        <v>54</v>
      </c>
      <c r="C31" s="349" t="s">
        <v>38</v>
      </c>
      <c r="D31" s="62" t="s">
        <v>3</v>
      </c>
      <c r="E31" s="18" t="s">
        <v>3</v>
      </c>
      <c r="F31" s="61" t="s">
        <v>21</v>
      </c>
      <c r="G31" s="299" t="s">
        <v>17</v>
      </c>
      <c r="H31" s="61" t="s">
        <v>268</v>
      </c>
      <c r="I31" s="292" t="s">
        <v>267</v>
      </c>
      <c r="J31" s="53"/>
      <c r="K31" s="41" t="s">
        <v>54</v>
      </c>
      <c r="L31" s="342" t="s">
        <v>74</v>
      </c>
      <c r="M31" s="65" t="s">
        <v>3</v>
      </c>
      <c r="N31" s="18" t="s">
        <v>3</v>
      </c>
      <c r="O31" s="61" t="s">
        <v>21</v>
      </c>
      <c r="P31" s="299" t="s">
        <v>17</v>
      </c>
      <c r="Q31" s="61" t="s">
        <v>268</v>
      </c>
      <c r="R31" s="292" t="s">
        <v>267</v>
      </c>
      <c r="S31" s="53"/>
      <c r="T31" s="41" t="s">
        <v>54</v>
      </c>
      <c r="U31" s="342" t="s">
        <v>56</v>
      </c>
      <c r="V31" s="65" t="s">
        <v>3</v>
      </c>
      <c r="W31" s="18" t="s">
        <v>3</v>
      </c>
      <c r="X31" s="61" t="s">
        <v>21</v>
      </c>
      <c r="Y31" s="299" t="s">
        <v>17</v>
      </c>
      <c r="Z31" s="61" t="s">
        <v>268</v>
      </c>
      <c r="AA31" s="292" t="s">
        <v>267</v>
      </c>
      <c r="AB31" s="53"/>
      <c r="AC31" s="41" t="s">
        <v>54</v>
      </c>
      <c r="AD31" s="342" t="s">
        <v>207</v>
      </c>
      <c r="AE31" s="65" t="s">
        <v>3</v>
      </c>
      <c r="AF31" s="18" t="s">
        <v>3</v>
      </c>
      <c r="AG31" s="61" t="s">
        <v>21</v>
      </c>
      <c r="AH31" s="299" t="s">
        <v>17</v>
      </c>
      <c r="AI31" s="61" t="s">
        <v>268</v>
      </c>
      <c r="AJ31" s="292" t="s">
        <v>267</v>
      </c>
      <c r="AK31" s="53"/>
      <c r="AL31" s="39" t="s">
        <v>55</v>
      </c>
      <c r="AM31" s="345" t="s">
        <v>31</v>
      </c>
      <c r="AN31" s="65" t="s">
        <v>3</v>
      </c>
      <c r="AO31" s="18" t="s">
        <v>3</v>
      </c>
      <c r="AP31" s="61" t="s">
        <v>21</v>
      </c>
      <c r="AQ31" s="299" t="s">
        <v>17</v>
      </c>
      <c r="AR31" s="61" t="s">
        <v>268</v>
      </c>
      <c r="AS31" s="292" t="s">
        <v>267</v>
      </c>
      <c r="AU31" s="72" t="s">
        <v>55</v>
      </c>
      <c r="AV31" s="345" t="s">
        <v>72</v>
      </c>
      <c r="AW31" s="65" t="s">
        <v>3</v>
      </c>
      <c r="AX31" s="18" t="s">
        <v>3</v>
      </c>
      <c r="AY31" s="61" t="s">
        <v>21</v>
      </c>
      <c r="AZ31" s="299" t="s">
        <v>17</v>
      </c>
      <c r="BA31" s="61" t="s">
        <v>268</v>
      </c>
      <c r="BB31" s="292" t="s">
        <v>267</v>
      </c>
      <c r="BC31" s="33"/>
      <c r="BD31" s="72" t="s">
        <v>55</v>
      </c>
      <c r="BE31" s="345" t="s">
        <v>73</v>
      </c>
      <c r="BF31" s="65" t="s">
        <v>3</v>
      </c>
      <c r="BG31" s="18" t="s">
        <v>3</v>
      </c>
      <c r="BH31" s="61" t="s">
        <v>21</v>
      </c>
      <c r="BI31" s="299" t="s">
        <v>17</v>
      </c>
      <c r="BJ31" s="61" t="s">
        <v>268</v>
      </c>
      <c r="BK31" s="292" t="s">
        <v>267</v>
      </c>
      <c r="BL31" s="33"/>
      <c r="BM31" s="271"/>
      <c r="BN31" s="147"/>
      <c r="BO31" s="146"/>
      <c r="BP31" s="71"/>
      <c r="BQ31" s="71"/>
      <c r="BR31" s="71"/>
      <c r="BS31" s="71"/>
      <c r="BT31" s="71"/>
    </row>
    <row r="32" spans="1:72" x14ac:dyDescent="0.3">
      <c r="B32" s="35"/>
      <c r="C32" s="350"/>
      <c r="D32" s="59" t="s">
        <v>22</v>
      </c>
      <c r="E32" s="17" t="s">
        <v>17</v>
      </c>
      <c r="F32" s="281" t="s">
        <v>17</v>
      </c>
      <c r="G32" s="295" t="s">
        <v>17</v>
      </c>
      <c r="H32" s="281" t="s">
        <v>268</v>
      </c>
      <c r="I32" s="294" t="s">
        <v>267</v>
      </c>
      <c r="J32" s="53"/>
      <c r="L32" s="343"/>
      <c r="M32" s="51" t="s">
        <v>9</v>
      </c>
      <c r="N32" s="17" t="s">
        <v>17</v>
      </c>
      <c r="O32" s="281" t="s">
        <v>17</v>
      </c>
      <c r="P32" s="295" t="s">
        <v>17</v>
      </c>
      <c r="Q32" s="281" t="s">
        <v>268</v>
      </c>
      <c r="R32" s="294" t="s">
        <v>267</v>
      </c>
      <c r="S32" s="53"/>
      <c r="U32" s="343"/>
      <c r="V32" s="51" t="s">
        <v>21</v>
      </c>
      <c r="W32" s="17" t="s">
        <v>17</v>
      </c>
      <c r="X32" s="281" t="s">
        <v>17</v>
      </c>
      <c r="Y32" s="295" t="s">
        <v>17</v>
      </c>
      <c r="Z32" s="281" t="s">
        <v>268</v>
      </c>
      <c r="AA32" s="294" t="s">
        <v>267</v>
      </c>
      <c r="AB32" s="53"/>
      <c r="AC32" s="53"/>
      <c r="AD32" s="343"/>
      <c r="AE32" s="51" t="s">
        <v>212</v>
      </c>
      <c r="AF32" s="17" t="s">
        <v>17</v>
      </c>
      <c r="AG32" s="281" t="s">
        <v>17</v>
      </c>
      <c r="AH32" s="295" t="s">
        <v>17</v>
      </c>
      <c r="AI32" s="281" t="s">
        <v>268</v>
      </c>
      <c r="AJ32" s="294" t="s">
        <v>267</v>
      </c>
      <c r="AK32" s="53"/>
      <c r="AL32" s="37"/>
      <c r="AM32" s="345"/>
      <c r="AN32" s="51" t="s">
        <v>21</v>
      </c>
      <c r="AO32" s="17" t="s">
        <v>21</v>
      </c>
      <c r="AP32" s="281" t="s">
        <v>21</v>
      </c>
      <c r="AQ32" s="295" t="s">
        <v>17</v>
      </c>
      <c r="AR32" s="281" t="s">
        <v>268</v>
      </c>
      <c r="AS32" s="294" t="s">
        <v>267</v>
      </c>
      <c r="AU32" s="71"/>
      <c r="AV32" s="345"/>
      <c r="AW32" s="51" t="s">
        <v>21</v>
      </c>
      <c r="AX32" s="17" t="s">
        <v>21</v>
      </c>
      <c r="AY32" s="281" t="s">
        <v>21</v>
      </c>
      <c r="AZ32" s="295" t="s">
        <v>17</v>
      </c>
      <c r="BA32" s="281" t="s">
        <v>268</v>
      </c>
      <c r="BB32" s="294" t="s">
        <v>267</v>
      </c>
      <c r="BC32" s="33"/>
      <c r="BD32" s="71"/>
      <c r="BE32" s="345"/>
      <c r="BF32" s="51" t="s">
        <v>21</v>
      </c>
      <c r="BG32" s="17" t="s">
        <v>21</v>
      </c>
      <c r="BH32" s="281" t="s">
        <v>21</v>
      </c>
      <c r="BI32" s="295" t="s">
        <v>17</v>
      </c>
      <c r="BJ32" s="281" t="s">
        <v>268</v>
      </c>
      <c r="BK32" s="294" t="s">
        <v>267</v>
      </c>
      <c r="BL32" s="33"/>
      <c r="BM32" s="33"/>
      <c r="BN32" s="147"/>
      <c r="BO32" s="146"/>
      <c r="BP32" s="71"/>
      <c r="BQ32" s="71"/>
      <c r="BR32" s="71"/>
      <c r="BS32" s="71"/>
      <c r="BT32" s="71"/>
    </row>
    <row r="33" spans="1:72" x14ac:dyDescent="0.3">
      <c r="B33" s="35"/>
      <c r="C33" s="350"/>
      <c r="D33" s="59" t="s">
        <v>20</v>
      </c>
      <c r="E33" s="17" t="s">
        <v>268</v>
      </c>
      <c r="F33" s="295" t="s">
        <v>268</v>
      </c>
      <c r="G33" s="281" t="s">
        <v>268</v>
      </c>
      <c r="H33" s="281" t="s">
        <v>268</v>
      </c>
      <c r="I33" s="294" t="s">
        <v>267</v>
      </c>
      <c r="J33" s="53"/>
      <c r="L33" s="343"/>
      <c r="M33" s="51" t="s">
        <v>8</v>
      </c>
      <c r="N33" s="302" t="s">
        <v>268</v>
      </c>
      <c r="O33" s="295" t="s">
        <v>268</v>
      </c>
      <c r="P33" s="295" t="s">
        <v>268</v>
      </c>
      <c r="Q33" s="281" t="s">
        <v>268</v>
      </c>
      <c r="R33" s="294" t="s">
        <v>267</v>
      </c>
      <c r="S33" s="53"/>
      <c r="U33" s="343"/>
      <c r="V33" s="295" t="s">
        <v>17</v>
      </c>
      <c r="W33" s="302" t="s">
        <v>268</v>
      </c>
      <c r="X33" s="295" t="s">
        <v>268</v>
      </c>
      <c r="Y33" s="295" t="s">
        <v>268</v>
      </c>
      <c r="Z33" s="281" t="s">
        <v>268</v>
      </c>
      <c r="AA33" s="294" t="s">
        <v>267</v>
      </c>
      <c r="AB33" s="53"/>
      <c r="AC33" s="53"/>
      <c r="AD33" s="343"/>
      <c r="AE33" s="51" t="s">
        <v>213</v>
      </c>
      <c r="AF33" s="302" t="s">
        <v>268</v>
      </c>
      <c r="AG33" s="295" t="s">
        <v>268</v>
      </c>
      <c r="AH33" s="295" t="s">
        <v>268</v>
      </c>
      <c r="AI33" s="281" t="s">
        <v>268</v>
      </c>
      <c r="AJ33" s="294" t="s">
        <v>267</v>
      </c>
      <c r="AK33" s="53"/>
      <c r="AM33" s="345"/>
      <c r="AN33" s="295" t="s">
        <v>17</v>
      </c>
      <c r="AO33" s="302" t="s">
        <v>17</v>
      </c>
      <c r="AP33" s="295" t="s">
        <v>17</v>
      </c>
      <c r="AQ33" s="295" t="s">
        <v>17</v>
      </c>
      <c r="AR33" s="281" t="s">
        <v>268</v>
      </c>
      <c r="AS33" s="294" t="s">
        <v>267</v>
      </c>
      <c r="AU33" s="53"/>
      <c r="AV33" s="345"/>
      <c r="AW33" s="295" t="s">
        <v>17</v>
      </c>
      <c r="AX33" s="302" t="s">
        <v>17</v>
      </c>
      <c r="AY33" s="295" t="s">
        <v>17</v>
      </c>
      <c r="AZ33" s="295" t="s">
        <v>17</v>
      </c>
      <c r="BA33" s="281" t="s">
        <v>268</v>
      </c>
      <c r="BB33" s="294" t="s">
        <v>267</v>
      </c>
      <c r="BC33" s="33"/>
      <c r="BD33" s="53"/>
      <c r="BE33" s="345"/>
      <c r="BF33" s="295" t="s">
        <v>17</v>
      </c>
      <c r="BG33" s="302" t="s">
        <v>17</v>
      </c>
      <c r="BH33" s="295" t="s">
        <v>17</v>
      </c>
      <c r="BI33" s="295" t="s">
        <v>17</v>
      </c>
      <c r="BJ33" s="281" t="s">
        <v>268</v>
      </c>
      <c r="BK33" s="294" t="s">
        <v>267</v>
      </c>
      <c r="BL33" s="33"/>
      <c r="BM33" s="33"/>
      <c r="BN33" s="147"/>
      <c r="BO33" s="146"/>
      <c r="BP33" s="71"/>
      <c r="BQ33" s="71"/>
      <c r="BR33" s="71"/>
      <c r="BS33" s="71"/>
      <c r="BT33" s="71"/>
    </row>
    <row r="34" spans="1:72" x14ac:dyDescent="0.3">
      <c r="B34" s="35"/>
      <c r="C34" s="350"/>
      <c r="D34" s="59" t="s">
        <v>18</v>
      </c>
      <c r="E34" s="302" t="s">
        <v>267</v>
      </c>
      <c r="F34" s="295" t="s">
        <v>267</v>
      </c>
      <c r="G34" s="281" t="s">
        <v>267</v>
      </c>
      <c r="H34" s="281" t="s">
        <v>267</v>
      </c>
      <c r="I34" s="294" t="s">
        <v>267</v>
      </c>
      <c r="J34" s="53"/>
      <c r="L34" s="343"/>
      <c r="M34" s="51" t="s">
        <v>7</v>
      </c>
      <c r="N34" s="302" t="s">
        <v>267</v>
      </c>
      <c r="O34" s="295" t="s">
        <v>267</v>
      </c>
      <c r="P34" s="281" t="s">
        <v>267</v>
      </c>
      <c r="Q34" s="281" t="s">
        <v>267</v>
      </c>
      <c r="R34" s="294" t="s">
        <v>267</v>
      </c>
      <c r="S34" s="53"/>
      <c r="U34" s="343"/>
      <c r="V34" s="51" t="s">
        <v>268</v>
      </c>
      <c r="W34" s="302" t="s">
        <v>267</v>
      </c>
      <c r="X34" s="295" t="s">
        <v>267</v>
      </c>
      <c r="Y34" s="281" t="s">
        <v>267</v>
      </c>
      <c r="Z34" s="281" t="s">
        <v>267</v>
      </c>
      <c r="AA34" s="294" t="s">
        <v>267</v>
      </c>
      <c r="AB34" s="53"/>
      <c r="AC34" s="53"/>
      <c r="AD34" s="343"/>
      <c r="AE34" s="51" t="s">
        <v>214</v>
      </c>
      <c r="AF34" s="302" t="s">
        <v>267</v>
      </c>
      <c r="AG34" s="295" t="s">
        <v>267</v>
      </c>
      <c r="AH34" s="281" t="s">
        <v>267</v>
      </c>
      <c r="AI34" s="281" t="s">
        <v>267</v>
      </c>
      <c r="AJ34" s="294" t="s">
        <v>267</v>
      </c>
      <c r="AK34" s="53"/>
      <c r="AM34" s="345"/>
      <c r="AN34" s="51" t="s">
        <v>268</v>
      </c>
      <c r="AO34" s="17" t="s">
        <v>268</v>
      </c>
      <c r="AP34" s="281" t="s">
        <v>268</v>
      </c>
      <c r="AQ34" s="281" t="s">
        <v>268</v>
      </c>
      <c r="AR34" s="281" t="s">
        <v>268</v>
      </c>
      <c r="AS34" s="294" t="s">
        <v>267</v>
      </c>
      <c r="AU34" s="53"/>
      <c r="AV34" s="345"/>
      <c r="AW34" s="51" t="s">
        <v>268</v>
      </c>
      <c r="AX34" s="17" t="s">
        <v>268</v>
      </c>
      <c r="AY34" s="281" t="s">
        <v>268</v>
      </c>
      <c r="AZ34" s="281" t="s">
        <v>268</v>
      </c>
      <c r="BA34" s="281" t="s">
        <v>268</v>
      </c>
      <c r="BB34" s="294" t="s">
        <v>267</v>
      </c>
      <c r="BC34" s="33"/>
      <c r="BD34" s="53"/>
      <c r="BE34" s="345"/>
      <c r="BF34" s="51" t="s">
        <v>268</v>
      </c>
      <c r="BG34" s="17" t="s">
        <v>268</v>
      </c>
      <c r="BH34" s="281" t="s">
        <v>268</v>
      </c>
      <c r="BI34" s="281" t="s">
        <v>268</v>
      </c>
      <c r="BJ34" s="281" t="s">
        <v>268</v>
      </c>
      <c r="BK34" s="294" t="s">
        <v>267</v>
      </c>
      <c r="BL34" s="33"/>
      <c r="BM34" s="33"/>
      <c r="BN34" s="147"/>
      <c r="BO34" s="146"/>
      <c r="BP34" s="71"/>
      <c r="BQ34" s="71"/>
      <c r="BR34" s="71"/>
      <c r="BS34" s="71"/>
      <c r="BT34" s="71"/>
    </row>
    <row r="35" spans="1:72" x14ac:dyDescent="0.3">
      <c r="B35" s="35"/>
      <c r="C35" s="351"/>
      <c r="D35" s="303" t="s">
        <v>270</v>
      </c>
      <c r="E35" s="296" t="s">
        <v>267</v>
      </c>
      <c r="F35" s="297" t="s">
        <v>267</v>
      </c>
      <c r="G35" s="297" t="s">
        <v>267</v>
      </c>
      <c r="H35" s="297" t="s">
        <v>267</v>
      </c>
      <c r="I35" s="298" t="s">
        <v>267</v>
      </c>
      <c r="J35" s="53"/>
      <c r="L35" s="344"/>
      <c r="M35" s="52" t="s">
        <v>271</v>
      </c>
      <c r="N35" s="296" t="s">
        <v>267</v>
      </c>
      <c r="O35" s="297" t="s">
        <v>267</v>
      </c>
      <c r="P35" s="297" t="s">
        <v>267</v>
      </c>
      <c r="Q35" s="297" t="s">
        <v>267</v>
      </c>
      <c r="R35" s="298" t="s">
        <v>267</v>
      </c>
      <c r="S35" s="53"/>
      <c r="U35" s="344"/>
      <c r="V35" s="295" t="s">
        <v>267</v>
      </c>
      <c r="W35" s="296" t="s">
        <v>267</v>
      </c>
      <c r="X35" s="297" t="s">
        <v>267</v>
      </c>
      <c r="Y35" s="297" t="s">
        <v>267</v>
      </c>
      <c r="Z35" s="297" t="s">
        <v>267</v>
      </c>
      <c r="AA35" s="298" t="s">
        <v>267</v>
      </c>
      <c r="AB35" s="53"/>
      <c r="AC35" s="53"/>
      <c r="AD35" s="344"/>
      <c r="AE35" s="52" t="s">
        <v>215</v>
      </c>
      <c r="AF35" s="296" t="s">
        <v>267</v>
      </c>
      <c r="AG35" s="297" t="s">
        <v>267</v>
      </c>
      <c r="AH35" s="297" t="s">
        <v>267</v>
      </c>
      <c r="AI35" s="297" t="s">
        <v>267</v>
      </c>
      <c r="AJ35" s="298" t="s">
        <v>267</v>
      </c>
      <c r="AK35" s="53"/>
      <c r="AM35" s="346"/>
      <c r="AN35" s="295" t="s">
        <v>267</v>
      </c>
      <c r="AO35" s="296" t="s">
        <v>267</v>
      </c>
      <c r="AP35" s="297" t="s">
        <v>267</v>
      </c>
      <c r="AQ35" s="297" t="s">
        <v>267</v>
      </c>
      <c r="AR35" s="297" t="s">
        <v>267</v>
      </c>
      <c r="AS35" s="298" t="s">
        <v>267</v>
      </c>
      <c r="AU35" s="53"/>
      <c r="AV35" s="346"/>
      <c r="AW35" s="295" t="s">
        <v>267</v>
      </c>
      <c r="AX35" s="296" t="s">
        <v>267</v>
      </c>
      <c r="AY35" s="297" t="s">
        <v>267</v>
      </c>
      <c r="AZ35" s="297" t="s">
        <v>267</v>
      </c>
      <c r="BA35" s="297" t="s">
        <v>267</v>
      </c>
      <c r="BB35" s="298" t="s">
        <v>267</v>
      </c>
      <c r="BC35" s="33"/>
      <c r="BD35" s="53"/>
      <c r="BE35" s="346"/>
      <c r="BF35" s="295" t="s">
        <v>267</v>
      </c>
      <c r="BG35" s="296" t="s">
        <v>267</v>
      </c>
      <c r="BH35" s="297" t="s">
        <v>267</v>
      </c>
      <c r="BI35" s="297" t="s">
        <v>267</v>
      </c>
      <c r="BJ35" s="297" t="s">
        <v>267</v>
      </c>
      <c r="BK35" s="298" t="s">
        <v>267</v>
      </c>
      <c r="BL35" s="33"/>
      <c r="BM35" s="33"/>
      <c r="BN35" s="147"/>
      <c r="BO35" s="146"/>
      <c r="BP35" s="71"/>
      <c r="BQ35" s="71"/>
      <c r="BR35" s="71"/>
      <c r="BS35" s="71"/>
      <c r="BT35" s="71"/>
    </row>
    <row r="38" spans="1:72" s="288" customFormat="1" x14ac:dyDescent="0.3">
      <c r="A38" s="347" t="s">
        <v>91</v>
      </c>
      <c r="B38" s="348"/>
    </row>
    <row r="39" spans="1:72" x14ac:dyDescent="0.3">
      <c r="A39" s="348"/>
      <c r="B39" s="348"/>
    </row>
    <row r="40" spans="1:72" x14ac:dyDescent="0.3">
      <c r="E40" s="43" t="s">
        <v>53</v>
      </c>
      <c r="F40" s="36"/>
      <c r="G40" s="36"/>
      <c r="H40" s="36"/>
      <c r="I40" s="43" t="s">
        <v>57</v>
      </c>
      <c r="N40" s="40" t="s">
        <v>53</v>
      </c>
      <c r="R40" s="38" t="s">
        <v>58</v>
      </c>
      <c r="W40" s="40" t="s">
        <v>53</v>
      </c>
      <c r="AA40" s="38" t="s">
        <v>59</v>
      </c>
      <c r="AC40" s="53"/>
      <c r="AD40" s="53"/>
      <c r="AE40" s="53"/>
      <c r="AF40" s="40" t="s">
        <v>53</v>
      </c>
      <c r="AG40" s="53"/>
      <c r="AH40" s="53"/>
      <c r="AI40" s="53"/>
      <c r="AJ40" s="38" t="s">
        <v>209</v>
      </c>
      <c r="AL40" s="53"/>
      <c r="AM40" s="69"/>
      <c r="AN40" s="69"/>
      <c r="AO40" s="72" t="s">
        <v>55</v>
      </c>
      <c r="AP40" s="73"/>
      <c r="AQ40" s="73"/>
      <c r="AR40" s="73"/>
      <c r="AS40" s="72" t="s">
        <v>217</v>
      </c>
      <c r="AV40" s="31"/>
      <c r="AW40" s="31"/>
      <c r="AX40" s="39" t="s">
        <v>55</v>
      </c>
      <c r="AY40" s="44"/>
      <c r="AZ40" s="44"/>
      <c r="BA40" s="44"/>
      <c r="BB40" s="39" t="s">
        <v>60</v>
      </c>
      <c r="BE40" s="31"/>
      <c r="BF40" s="31"/>
      <c r="BG40" s="39" t="s">
        <v>55</v>
      </c>
      <c r="BH40" s="44"/>
      <c r="BI40" s="44"/>
      <c r="BJ40" s="44"/>
      <c r="BK40" s="39" t="s">
        <v>33</v>
      </c>
    </row>
    <row r="41" spans="1:72" ht="15.6" x14ac:dyDescent="0.3">
      <c r="C41" s="14"/>
      <c r="D41" s="15" t="s">
        <v>33</v>
      </c>
      <c r="E41" s="352" t="s">
        <v>46</v>
      </c>
      <c r="F41" s="353"/>
      <c r="G41" s="353"/>
      <c r="H41" s="353"/>
      <c r="I41" s="354"/>
      <c r="J41" s="19"/>
      <c r="K41" s="19"/>
      <c r="L41" s="14"/>
      <c r="M41" s="15" t="s">
        <v>33</v>
      </c>
      <c r="N41" s="352" t="s">
        <v>46</v>
      </c>
      <c r="O41" s="353"/>
      <c r="P41" s="353"/>
      <c r="Q41" s="353"/>
      <c r="R41" s="354"/>
      <c r="U41" s="14"/>
      <c r="V41" s="15" t="s">
        <v>33</v>
      </c>
      <c r="W41" s="352" t="s">
        <v>46</v>
      </c>
      <c r="X41" s="353"/>
      <c r="Y41" s="353"/>
      <c r="Z41" s="353"/>
      <c r="AA41" s="354"/>
      <c r="AC41" s="53"/>
      <c r="AD41" s="14"/>
      <c r="AE41" s="66" t="s">
        <v>33</v>
      </c>
      <c r="AF41" s="352" t="s">
        <v>46</v>
      </c>
      <c r="AG41" s="353"/>
      <c r="AH41" s="353"/>
      <c r="AI41" s="353"/>
      <c r="AJ41" s="354"/>
      <c r="AL41" s="53"/>
      <c r="AM41" s="69"/>
      <c r="AN41" s="66" t="s">
        <v>33</v>
      </c>
      <c r="AO41" s="352" t="s">
        <v>209</v>
      </c>
      <c r="AP41" s="353"/>
      <c r="AQ41" s="353"/>
      <c r="AR41" s="353"/>
      <c r="AS41" s="354"/>
      <c r="AV41" s="31"/>
      <c r="AW41" s="15" t="s">
        <v>33</v>
      </c>
      <c r="AX41" s="352" t="s">
        <v>57</v>
      </c>
      <c r="AY41" s="353"/>
      <c r="AZ41" s="353"/>
      <c r="BA41" s="353"/>
      <c r="BB41" s="354"/>
      <c r="BE41" s="31"/>
      <c r="BF41" s="15" t="s">
        <v>33</v>
      </c>
      <c r="BG41" s="352" t="s">
        <v>217</v>
      </c>
      <c r="BH41" s="353"/>
      <c r="BI41" s="353"/>
      <c r="BJ41" s="353"/>
      <c r="BK41" s="354"/>
    </row>
    <row r="42" spans="1:72" x14ac:dyDescent="0.3">
      <c r="C42" s="20" t="s">
        <v>25</v>
      </c>
      <c r="D42" s="13" t="s">
        <v>26</v>
      </c>
      <c r="E42" s="12" t="s">
        <v>3</v>
      </c>
      <c r="F42" s="11" t="s">
        <v>4</v>
      </c>
      <c r="G42" s="11" t="s">
        <v>2</v>
      </c>
      <c r="H42" s="11" t="s">
        <v>1</v>
      </c>
      <c r="I42" s="10" t="s">
        <v>269</v>
      </c>
      <c r="J42" s="5"/>
      <c r="K42" s="5"/>
      <c r="L42" s="22" t="s">
        <v>25</v>
      </c>
      <c r="M42" s="21" t="s">
        <v>24</v>
      </c>
      <c r="N42" s="12" t="s">
        <v>3</v>
      </c>
      <c r="O42" s="11" t="s">
        <v>4</v>
      </c>
      <c r="P42" s="11" t="s">
        <v>2</v>
      </c>
      <c r="Q42" s="11" t="s">
        <v>1</v>
      </c>
      <c r="R42" s="10" t="s">
        <v>269</v>
      </c>
      <c r="U42" s="20" t="s">
        <v>13</v>
      </c>
      <c r="V42" s="21" t="s">
        <v>24</v>
      </c>
      <c r="W42" s="12" t="s">
        <v>3</v>
      </c>
      <c r="X42" s="11" t="s">
        <v>4</v>
      </c>
      <c r="Y42" s="11" t="s">
        <v>2</v>
      </c>
      <c r="Z42" s="11" t="s">
        <v>1</v>
      </c>
      <c r="AA42" s="10" t="s">
        <v>269</v>
      </c>
      <c r="AC42" s="53"/>
      <c r="AD42" s="20" t="s">
        <v>13</v>
      </c>
      <c r="AE42" s="67" t="s">
        <v>24</v>
      </c>
      <c r="AF42" s="65" t="s">
        <v>3</v>
      </c>
      <c r="AG42" s="64" t="s">
        <v>4</v>
      </c>
      <c r="AH42" s="64" t="s">
        <v>2</v>
      </c>
      <c r="AI42" s="64" t="s">
        <v>1</v>
      </c>
      <c r="AJ42" s="63" t="s">
        <v>269</v>
      </c>
      <c r="AL42" s="53"/>
      <c r="AM42" s="70"/>
      <c r="AN42" s="67" t="s">
        <v>40</v>
      </c>
      <c r="AO42" s="65" t="s">
        <v>3</v>
      </c>
      <c r="AP42" s="64" t="s">
        <v>4</v>
      </c>
      <c r="AQ42" s="64" t="s">
        <v>2</v>
      </c>
      <c r="AR42" s="64" t="s">
        <v>1</v>
      </c>
      <c r="AS42" s="63" t="s">
        <v>269</v>
      </c>
      <c r="AV42" s="32"/>
      <c r="AW42" s="21" t="s">
        <v>40</v>
      </c>
      <c r="AX42" s="12" t="s">
        <v>3</v>
      </c>
      <c r="AY42" s="11" t="s">
        <v>4</v>
      </c>
      <c r="AZ42" s="11" t="s">
        <v>2</v>
      </c>
      <c r="BA42" s="11" t="s">
        <v>1</v>
      </c>
      <c r="BB42" s="10" t="s">
        <v>269</v>
      </c>
      <c r="BE42" s="46"/>
      <c r="BF42" s="21" t="s">
        <v>43</v>
      </c>
      <c r="BG42" s="12" t="s">
        <v>3</v>
      </c>
      <c r="BH42" s="11" t="s">
        <v>4</v>
      </c>
      <c r="BI42" s="11" t="s">
        <v>2</v>
      </c>
      <c r="BJ42" s="11" t="s">
        <v>1</v>
      </c>
      <c r="BK42" s="10" t="s">
        <v>269</v>
      </c>
    </row>
    <row r="43" spans="1:72" x14ac:dyDescent="0.3">
      <c r="B43" s="42" t="s">
        <v>54</v>
      </c>
      <c r="C43" s="349" t="s">
        <v>38</v>
      </c>
      <c r="D43" s="62" t="s">
        <v>3</v>
      </c>
      <c r="E43" s="61" t="s">
        <v>3</v>
      </c>
      <c r="F43" s="61" t="s">
        <v>4</v>
      </c>
      <c r="G43" s="61" t="s">
        <v>2</v>
      </c>
      <c r="H43" s="61" t="s">
        <v>1</v>
      </c>
      <c r="I43" s="60" t="s">
        <v>269</v>
      </c>
      <c r="J43" s="58"/>
      <c r="K43" s="41" t="s">
        <v>54</v>
      </c>
      <c r="L43" s="342" t="s">
        <v>56</v>
      </c>
      <c r="M43" s="62" t="s">
        <v>3</v>
      </c>
      <c r="N43" s="61" t="s">
        <v>3</v>
      </c>
      <c r="O43" s="61" t="s">
        <v>4</v>
      </c>
      <c r="P43" s="61" t="s">
        <v>2</v>
      </c>
      <c r="Q43" s="61" t="s">
        <v>1</v>
      </c>
      <c r="R43" s="60" t="s">
        <v>269</v>
      </c>
      <c r="S43" s="53"/>
      <c r="T43" s="41" t="s">
        <v>54</v>
      </c>
      <c r="U43" s="361" t="s">
        <v>74</v>
      </c>
      <c r="V43" s="9" t="s">
        <v>3</v>
      </c>
      <c r="W43" s="61" t="s">
        <v>3</v>
      </c>
      <c r="X43" s="61" t="s">
        <v>4</v>
      </c>
      <c r="Y43" s="61" t="s">
        <v>2</v>
      </c>
      <c r="Z43" s="61" t="s">
        <v>1</v>
      </c>
      <c r="AA43" s="60" t="s">
        <v>269</v>
      </c>
      <c r="AB43" s="53"/>
      <c r="AC43" s="41" t="s">
        <v>54</v>
      </c>
      <c r="AD43" s="342" t="s">
        <v>207</v>
      </c>
      <c r="AE43" s="62" t="s">
        <v>3</v>
      </c>
      <c r="AF43" s="61" t="s">
        <v>3</v>
      </c>
      <c r="AG43" s="61" t="s">
        <v>4</v>
      </c>
      <c r="AH43" s="61" t="s">
        <v>2</v>
      </c>
      <c r="AI43" s="61" t="s">
        <v>1</v>
      </c>
      <c r="AJ43" s="60" t="s">
        <v>269</v>
      </c>
      <c r="AK43" s="53"/>
      <c r="AL43" s="72" t="s">
        <v>55</v>
      </c>
      <c r="AM43" s="349" t="s">
        <v>58</v>
      </c>
      <c r="AN43" s="62" t="s">
        <v>3</v>
      </c>
      <c r="AO43" s="61" t="s">
        <v>3</v>
      </c>
      <c r="AP43" s="61" t="s">
        <v>4</v>
      </c>
      <c r="AQ43" s="61" t="s">
        <v>2</v>
      </c>
      <c r="AR43" s="61" t="s">
        <v>1</v>
      </c>
      <c r="AS43" s="60" t="s">
        <v>269</v>
      </c>
      <c r="AU43" s="39" t="s">
        <v>55</v>
      </c>
      <c r="AV43" s="349" t="s">
        <v>59</v>
      </c>
      <c r="AW43" s="9" t="s">
        <v>3</v>
      </c>
      <c r="AX43" s="8" t="s">
        <v>3</v>
      </c>
      <c r="AY43" s="8" t="s">
        <v>4</v>
      </c>
      <c r="AZ43" s="8" t="s">
        <v>2</v>
      </c>
      <c r="BA43" s="8" t="s">
        <v>1</v>
      </c>
      <c r="BB43" s="7" t="s">
        <v>269</v>
      </c>
      <c r="BD43" s="39" t="s">
        <v>55</v>
      </c>
      <c r="BE43" s="349" t="s">
        <v>60</v>
      </c>
      <c r="BF43" s="9" t="s">
        <v>3</v>
      </c>
      <c r="BG43" s="8" t="s">
        <v>3</v>
      </c>
      <c r="BH43" s="8" t="s">
        <v>4</v>
      </c>
      <c r="BI43" s="8" t="s">
        <v>2</v>
      </c>
      <c r="BJ43" s="8" t="s">
        <v>1</v>
      </c>
      <c r="BK43" s="7" t="s">
        <v>269</v>
      </c>
    </row>
    <row r="44" spans="1:72" x14ac:dyDescent="0.3">
      <c r="C44" s="350"/>
      <c r="D44" s="59" t="s">
        <v>22</v>
      </c>
      <c r="E44" s="58" t="s">
        <v>4</v>
      </c>
      <c r="F44" s="58" t="s">
        <v>4</v>
      </c>
      <c r="G44" s="58" t="s">
        <v>2</v>
      </c>
      <c r="H44" s="58" t="s">
        <v>1</v>
      </c>
      <c r="I44" s="57" t="s">
        <v>269</v>
      </c>
      <c r="J44" s="58"/>
      <c r="K44" s="5"/>
      <c r="L44" s="343"/>
      <c r="M44" s="59" t="s">
        <v>21</v>
      </c>
      <c r="N44" s="58" t="s">
        <v>2</v>
      </c>
      <c r="O44" s="58" t="s">
        <v>2</v>
      </c>
      <c r="P44" s="58" t="s">
        <v>2</v>
      </c>
      <c r="Q44" s="58" t="s">
        <v>1</v>
      </c>
      <c r="R44" s="57" t="s">
        <v>269</v>
      </c>
      <c r="S44" s="53"/>
      <c r="U44" s="345"/>
      <c r="V44" s="6" t="s">
        <v>9</v>
      </c>
      <c r="W44" s="58" t="s">
        <v>4</v>
      </c>
      <c r="X44" s="58" t="s">
        <v>2</v>
      </c>
      <c r="Y44" s="58" t="s">
        <v>2</v>
      </c>
      <c r="Z44" s="58" t="s">
        <v>1</v>
      </c>
      <c r="AA44" s="57" t="s">
        <v>269</v>
      </c>
      <c r="AB44" s="53"/>
      <c r="AC44" s="53"/>
      <c r="AD44" s="343"/>
      <c r="AE44" s="59" t="s">
        <v>212</v>
      </c>
      <c r="AF44" s="58" t="s">
        <v>2</v>
      </c>
      <c r="AG44" s="58" t="s">
        <v>2</v>
      </c>
      <c r="AH44" s="58" t="s">
        <v>2</v>
      </c>
      <c r="AI44" s="58" t="s">
        <v>1</v>
      </c>
      <c r="AJ44" s="57" t="s">
        <v>269</v>
      </c>
      <c r="AK44" s="53"/>
      <c r="AL44" s="53"/>
      <c r="AM44" s="350"/>
      <c r="AN44" s="59" t="s">
        <v>4</v>
      </c>
      <c r="AO44" s="58" t="s">
        <v>4</v>
      </c>
      <c r="AP44" s="58" t="s">
        <v>4</v>
      </c>
      <c r="AQ44" s="58" t="s">
        <v>2</v>
      </c>
      <c r="AR44" s="58" t="s">
        <v>1</v>
      </c>
      <c r="AS44" s="57" t="s">
        <v>269</v>
      </c>
      <c r="AV44" s="350"/>
      <c r="AW44" s="6" t="s">
        <v>4</v>
      </c>
      <c r="AX44" s="5" t="s">
        <v>4</v>
      </c>
      <c r="AY44" s="5" t="s">
        <v>4</v>
      </c>
      <c r="AZ44" s="5" t="s">
        <v>2</v>
      </c>
      <c r="BA44" s="5" t="s">
        <v>1</v>
      </c>
      <c r="BB44" s="4" t="s">
        <v>269</v>
      </c>
      <c r="BE44" s="350"/>
      <c r="BF44" s="6" t="s">
        <v>4</v>
      </c>
      <c r="BG44" s="5" t="s">
        <v>4</v>
      </c>
      <c r="BH44" s="5" t="s">
        <v>4</v>
      </c>
      <c r="BI44" s="5" t="s">
        <v>2</v>
      </c>
      <c r="BJ44" s="5" t="s">
        <v>1</v>
      </c>
      <c r="BK44" s="4" t="s">
        <v>269</v>
      </c>
    </row>
    <row r="45" spans="1:72" x14ac:dyDescent="0.3">
      <c r="C45" s="350"/>
      <c r="D45" s="59" t="s">
        <v>20</v>
      </c>
      <c r="E45" s="58" t="s">
        <v>2</v>
      </c>
      <c r="F45" s="58" t="s">
        <v>2</v>
      </c>
      <c r="G45" s="58" t="s">
        <v>2</v>
      </c>
      <c r="H45" s="58" t="s">
        <v>1</v>
      </c>
      <c r="I45" s="57" t="s">
        <v>269</v>
      </c>
      <c r="J45" s="58"/>
      <c r="K45" s="5"/>
      <c r="L45" s="343"/>
      <c r="M45" s="301" t="s">
        <v>17</v>
      </c>
      <c r="N45" s="58" t="s">
        <v>1</v>
      </c>
      <c r="O45" s="58" t="s">
        <v>1</v>
      </c>
      <c r="P45" s="58" t="s">
        <v>1</v>
      </c>
      <c r="Q45" s="58" t="s">
        <v>1</v>
      </c>
      <c r="R45" s="57" t="s">
        <v>269</v>
      </c>
      <c r="S45" s="53"/>
      <c r="U45" s="345"/>
      <c r="V45" s="6" t="s">
        <v>8</v>
      </c>
      <c r="W45" s="58" t="s">
        <v>2</v>
      </c>
      <c r="X45" s="58" t="s">
        <v>2</v>
      </c>
      <c r="Y45" s="58" t="s">
        <v>1</v>
      </c>
      <c r="Z45" s="58" t="s">
        <v>1</v>
      </c>
      <c r="AA45" s="57" t="s">
        <v>269</v>
      </c>
      <c r="AB45" s="53"/>
      <c r="AC45" s="53"/>
      <c r="AD45" s="343"/>
      <c r="AE45" s="59" t="s">
        <v>213</v>
      </c>
      <c r="AF45" s="58" t="s">
        <v>1</v>
      </c>
      <c r="AG45" s="58" t="s">
        <v>1</v>
      </c>
      <c r="AH45" s="58" t="s">
        <v>1</v>
      </c>
      <c r="AI45" s="58" t="s">
        <v>1</v>
      </c>
      <c r="AJ45" s="57" t="s">
        <v>269</v>
      </c>
      <c r="AK45" s="53"/>
      <c r="AL45" s="53"/>
      <c r="AM45" s="350"/>
      <c r="AN45" s="59" t="s">
        <v>2</v>
      </c>
      <c r="AO45" s="58" t="s">
        <v>2</v>
      </c>
      <c r="AP45" s="58" t="s">
        <v>2</v>
      </c>
      <c r="AQ45" s="58" t="s">
        <v>2</v>
      </c>
      <c r="AR45" s="58" t="s">
        <v>1</v>
      </c>
      <c r="AS45" s="57" t="s">
        <v>269</v>
      </c>
      <c r="AV45" s="350"/>
      <c r="AW45" s="6" t="s">
        <v>2</v>
      </c>
      <c r="AX45" s="5" t="s">
        <v>2</v>
      </c>
      <c r="AY45" s="5" t="s">
        <v>2</v>
      </c>
      <c r="AZ45" s="5" t="s">
        <v>2</v>
      </c>
      <c r="BA45" s="5" t="s">
        <v>1</v>
      </c>
      <c r="BB45" s="4" t="s">
        <v>269</v>
      </c>
      <c r="BE45" s="350"/>
      <c r="BF45" s="6" t="s">
        <v>2</v>
      </c>
      <c r="BG45" s="5" t="s">
        <v>2</v>
      </c>
      <c r="BH45" s="5" t="s">
        <v>2</v>
      </c>
      <c r="BI45" s="5" t="s">
        <v>2</v>
      </c>
      <c r="BJ45" s="5" t="s">
        <v>1</v>
      </c>
      <c r="BK45" s="4" t="s">
        <v>269</v>
      </c>
    </row>
    <row r="46" spans="1:72" x14ac:dyDescent="0.3">
      <c r="C46" s="350"/>
      <c r="D46" s="59" t="s">
        <v>18</v>
      </c>
      <c r="E46" s="58" t="s">
        <v>1</v>
      </c>
      <c r="F46" s="58" t="s">
        <v>1</v>
      </c>
      <c r="G46" s="58" t="s">
        <v>1</v>
      </c>
      <c r="H46" s="58" t="s">
        <v>1</v>
      </c>
      <c r="I46" s="57" t="s">
        <v>269</v>
      </c>
      <c r="J46" s="58"/>
      <c r="K46" s="5"/>
      <c r="L46" s="343"/>
      <c r="M46" s="59" t="s">
        <v>268</v>
      </c>
      <c r="N46" s="58" t="s">
        <v>269</v>
      </c>
      <c r="O46" s="58" t="s">
        <v>269</v>
      </c>
      <c r="P46" s="58" t="s">
        <v>269</v>
      </c>
      <c r="Q46" s="58" t="s">
        <v>269</v>
      </c>
      <c r="R46" s="57" t="s">
        <v>269</v>
      </c>
      <c r="S46" s="53"/>
      <c r="U46" s="345"/>
      <c r="V46" s="6" t="s">
        <v>7</v>
      </c>
      <c r="W46" s="58" t="s">
        <v>1</v>
      </c>
      <c r="X46" s="58" t="s">
        <v>1</v>
      </c>
      <c r="Y46" s="58" t="s">
        <v>1</v>
      </c>
      <c r="Z46" s="58" t="s">
        <v>269</v>
      </c>
      <c r="AA46" s="57" t="s">
        <v>269</v>
      </c>
      <c r="AB46" s="53"/>
      <c r="AC46" s="53"/>
      <c r="AD46" s="343"/>
      <c r="AE46" s="59" t="s">
        <v>214</v>
      </c>
      <c r="AF46" s="58" t="s">
        <v>269</v>
      </c>
      <c r="AG46" s="58" t="s">
        <v>269</v>
      </c>
      <c r="AH46" s="58" t="s">
        <v>269</v>
      </c>
      <c r="AI46" s="58" t="s">
        <v>269</v>
      </c>
      <c r="AJ46" s="57" t="s">
        <v>269</v>
      </c>
      <c r="AK46" s="53"/>
      <c r="AL46" s="53"/>
      <c r="AM46" s="350"/>
      <c r="AN46" s="59" t="s">
        <v>1</v>
      </c>
      <c r="AO46" s="58" t="s">
        <v>1</v>
      </c>
      <c r="AP46" s="58" t="s">
        <v>1</v>
      </c>
      <c r="AQ46" s="58" t="s">
        <v>1</v>
      </c>
      <c r="AR46" s="58" t="s">
        <v>1</v>
      </c>
      <c r="AS46" s="57" t="s">
        <v>269</v>
      </c>
      <c r="AV46" s="350"/>
      <c r="AW46" s="6" t="s">
        <v>1</v>
      </c>
      <c r="AX46" s="5" t="s">
        <v>1</v>
      </c>
      <c r="AY46" s="5" t="s">
        <v>1</v>
      </c>
      <c r="AZ46" s="5" t="s">
        <v>1</v>
      </c>
      <c r="BA46" s="5" t="s">
        <v>1</v>
      </c>
      <c r="BB46" s="4" t="s">
        <v>269</v>
      </c>
      <c r="BE46" s="350"/>
      <c r="BF46" s="6" t="s">
        <v>1</v>
      </c>
      <c r="BG46" s="5" t="s">
        <v>1</v>
      </c>
      <c r="BH46" s="5" t="s">
        <v>1</v>
      </c>
      <c r="BI46" s="5" t="s">
        <v>1</v>
      </c>
      <c r="BJ46" s="5" t="s">
        <v>1</v>
      </c>
      <c r="BK46" s="4" t="s">
        <v>269</v>
      </c>
    </row>
    <row r="47" spans="1:72" x14ac:dyDescent="0.3">
      <c r="C47" s="351"/>
      <c r="D47" s="303" t="s">
        <v>270</v>
      </c>
      <c r="E47" s="55" t="s">
        <v>269</v>
      </c>
      <c r="F47" s="55" t="s">
        <v>269</v>
      </c>
      <c r="G47" s="55" t="s">
        <v>269</v>
      </c>
      <c r="H47" s="55" t="s">
        <v>269</v>
      </c>
      <c r="I47" s="54" t="s">
        <v>269</v>
      </c>
      <c r="J47" s="58"/>
      <c r="K47" s="5"/>
      <c r="L47" s="344"/>
      <c r="M47" s="306" t="s">
        <v>267</v>
      </c>
      <c r="N47" s="55" t="s">
        <v>269</v>
      </c>
      <c r="O47" s="55" t="s">
        <v>269</v>
      </c>
      <c r="P47" s="55" t="s">
        <v>269</v>
      </c>
      <c r="Q47" s="55" t="s">
        <v>269</v>
      </c>
      <c r="R47" s="54" t="s">
        <v>269</v>
      </c>
      <c r="S47" s="53"/>
      <c r="U47" s="346"/>
      <c r="V47" s="3" t="s">
        <v>271</v>
      </c>
      <c r="W47" s="55" t="s">
        <v>269</v>
      </c>
      <c r="X47" s="55" t="s">
        <v>269</v>
      </c>
      <c r="Y47" s="55" t="s">
        <v>269</v>
      </c>
      <c r="Z47" s="55" t="s">
        <v>269</v>
      </c>
      <c r="AA47" s="54" t="s">
        <v>269</v>
      </c>
      <c r="AB47" s="53"/>
      <c r="AC47" s="53"/>
      <c r="AD47" s="344"/>
      <c r="AE47" s="56" t="s">
        <v>215</v>
      </c>
      <c r="AF47" s="55" t="s">
        <v>269</v>
      </c>
      <c r="AG47" s="55" t="s">
        <v>269</v>
      </c>
      <c r="AH47" s="55" t="s">
        <v>269</v>
      </c>
      <c r="AI47" s="55" t="s">
        <v>269</v>
      </c>
      <c r="AJ47" s="54" t="s">
        <v>269</v>
      </c>
      <c r="AK47" s="53"/>
      <c r="AL47" s="53"/>
      <c r="AM47" s="351"/>
      <c r="AN47" s="56" t="s">
        <v>269</v>
      </c>
      <c r="AO47" s="55" t="s">
        <v>269</v>
      </c>
      <c r="AP47" s="55" t="s">
        <v>269</v>
      </c>
      <c r="AQ47" s="55" t="s">
        <v>269</v>
      </c>
      <c r="AR47" s="55" t="s">
        <v>269</v>
      </c>
      <c r="AS47" s="54" t="s">
        <v>269</v>
      </c>
      <c r="AV47" s="351"/>
      <c r="AW47" s="3" t="s">
        <v>269</v>
      </c>
      <c r="AX47" s="2" t="s">
        <v>269</v>
      </c>
      <c r="AY47" s="2" t="s">
        <v>269</v>
      </c>
      <c r="AZ47" s="2" t="s">
        <v>269</v>
      </c>
      <c r="BA47" s="2" t="s">
        <v>269</v>
      </c>
      <c r="BB47" s="1" t="s">
        <v>269</v>
      </c>
      <c r="BE47" s="351"/>
      <c r="BF47" s="3" t="s">
        <v>269</v>
      </c>
      <c r="BG47" s="2" t="s">
        <v>269</v>
      </c>
      <c r="BH47" s="2" t="s">
        <v>269</v>
      </c>
      <c r="BI47" s="2" t="s">
        <v>269</v>
      </c>
      <c r="BJ47" s="2" t="s">
        <v>269</v>
      </c>
      <c r="BK47" s="1" t="s">
        <v>269</v>
      </c>
    </row>
    <row r="49" spans="1:90" ht="16.8" customHeight="1" x14ac:dyDescent="0.3"/>
    <row r="50" spans="1:90" s="288" customFormat="1" x14ac:dyDescent="0.3">
      <c r="A50" s="347" t="s">
        <v>13</v>
      </c>
      <c r="B50" s="348"/>
    </row>
    <row r="51" spans="1:90" x14ac:dyDescent="0.3">
      <c r="A51" s="348"/>
      <c r="B51" s="348"/>
    </row>
    <row r="52" spans="1:90" x14ac:dyDescent="0.3">
      <c r="A52" s="312" t="s">
        <v>275</v>
      </c>
      <c r="C52" s="14"/>
      <c r="D52" s="14"/>
      <c r="E52" s="47" t="s">
        <v>54</v>
      </c>
      <c r="F52" s="44"/>
      <c r="G52" s="44"/>
      <c r="H52" s="44"/>
      <c r="I52" s="43"/>
      <c r="J52" s="14"/>
      <c r="L52" s="14"/>
      <c r="M52" s="14"/>
      <c r="N52" s="47" t="s">
        <v>54</v>
      </c>
      <c r="O52" s="44"/>
      <c r="P52" s="44"/>
      <c r="Q52" s="44"/>
      <c r="R52" s="43"/>
      <c r="U52" s="14"/>
      <c r="V52" s="14"/>
      <c r="W52" s="47" t="s">
        <v>54</v>
      </c>
      <c r="X52" s="44"/>
      <c r="Y52" s="44"/>
      <c r="Z52" s="44"/>
      <c r="AA52" s="43"/>
      <c r="AD52" s="14"/>
      <c r="AE52" s="14"/>
      <c r="AF52" s="47" t="s">
        <v>55</v>
      </c>
      <c r="AG52" s="44"/>
      <c r="AH52" s="44"/>
      <c r="AI52" s="44"/>
      <c r="AJ52" s="43"/>
      <c r="AM52" s="14"/>
      <c r="AN52" s="14"/>
      <c r="AO52" s="47" t="s">
        <v>55</v>
      </c>
      <c r="AP52" s="44"/>
      <c r="AQ52" s="44"/>
      <c r="AR52" s="44"/>
      <c r="AS52" s="43"/>
      <c r="AV52" s="14"/>
      <c r="AW52" s="14"/>
      <c r="AX52" s="47" t="s">
        <v>54</v>
      </c>
      <c r="AY52" s="44"/>
      <c r="AZ52" s="44"/>
      <c r="BA52" s="44"/>
      <c r="BB52" s="43"/>
      <c r="BD52" s="53"/>
      <c r="BE52" s="14"/>
      <c r="BF52" s="14"/>
      <c r="BG52" s="47" t="s">
        <v>54</v>
      </c>
      <c r="BH52" s="73"/>
      <c r="BI52" s="73"/>
      <c r="BJ52" s="73"/>
      <c r="BK52" s="43"/>
      <c r="BN52" s="14"/>
      <c r="BO52" s="14"/>
      <c r="BP52" s="47" t="s">
        <v>54</v>
      </c>
      <c r="BQ52" s="73"/>
      <c r="BR52" s="73"/>
      <c r="BS52" s="73"/>
      <c r="BT52" s="43"/>
      <c r="BV52" s="53"/>
      <c r="BW52" s="14"/>
      <c r="BX52" s="14"/>
      <c r="BY52" s="47" t="s">
        <v>54</v>
      </c>
      <c r="BZ52" s="73"/>
      <c r="CA52" s="73"/>
      <c r="CB52" s="73"/>
      <c r="CC52" s="43"/>
    </row>
    <row r="53" spans="1:90" ht="15.6" x14ac:dyDescent="0.3">
      <c r="A53" s="313" t="s">
        <v>276</v>
      </c>
      <c r="C53" s="14"/>
      <c r="D53" s="15" t="s">
        <v>36</v>
      </c>
      <c r="E53" s="360" t="s">
        <v>10</v>
      </c>
      <c r="F53" s="340"/>
      <c r="G53" s="340"/>
      <c r="H53" s="340"/>
      <c r="I53" s="341"/>
      <c r="J53" s="14"/>
      <c r="L53" s="14"/>
      <c r="M53" s="15" t="s">
        <v>36</v>
      </c>
      <c r="N53" s="360" t="s">
        <v>77</v>
      </c>
      <c r="O53" s="340"/>
      <c r="P53" s="340"/>
      <c r="Q53" s="340"/>
      <c r="R53" s="341"/>
      <c r="U53" s="14"/>
      <c r="V53" s="15" t="s">
        <v>36</v>
      </c>
      <c r="W53" s="360" t="s">
        <v>80</v>
      </c>
      <c r="X53" s="340"/>
      <c r="Y53" s="340"/>
      <c r="Z53" s="340"/>
      <c r="AA53" s="341"/>
      <c r="AD53" s="14"/>
      <c r="AE53" s="15" t="s">
        <v>36</v>
      </c>
      <c r="AF53" s="360" t="s">
        <v>78</v>
      </c>
      <c r="AG53" s="340"/>
      <c r="AH53" s="340"/>
      <c r="AI53" s="340"/>
      <c r="AJ53" s="341"/>
      <c r="AM53" s="14"/>
      <c r="AN53" s="15" t="s">
        <v>36</v>
      </c>
      <c r="AO53" s="360" t="s">
        <v>81</v>
      </c>
      <c r="AP53" s="340"/>
      <c r="AQ53" s="340"/>
      <c r="AR53" s="340"/>
      <c r="AS53" s="341"/>
      <c r="AV53" s="14"/>
      <c r="AW53" s="15" t="s">
        <v>36</v>
      </c>
      <c r="AX53" s="360" t="s">
        <v>10</v>
      </c>
      <c r="AY53" s="340"/>
      <c r="AZ53" s="340"/>
      <c r="BA53" s="340"/>
      <c r="BB53" s="341"/>
      <c r="BD53" s="53"/>
      <c r="BE53" s="14"/>
      <c r="BF53" s="66" t="s">
        <v>36</v>
      </c>
      <c r="BG53" s="355" t="s">
        <v>220</v>
      </c>
      <c r="BH53" s="356"/>
      <c r="BI53" s="356"/>
      <c r="BJ53" s="356"/>
      <c r="BK53" s="357"/>
      <c r="BN53" s="14"/>
      <c r="BO53" s="66" t="s">
        <v>36</v>
      </c>
      <c r="BP53" s="360" t="s">
        <v>14</v>
      </c>
      <c r="BQ53" s="340"/>
      <c r="BR53" s="340"/>
      <c r="BS53" s="340"/>
      <c r="BT53" s="341"/>
      <c r="BV53" s="53"/>
      <c r="BW53" s="14"/>
      <c r="BX53" s="66" t="s">
        <v>36</v>
      </c>
      <c r="BY53" s="355" t="s">
        <v>220</v>
      </c>
      <c r="BZ53" s="356"/>
      <c r="CA53" s="356"/>
      <c r="CB53" s="356"/>
      <c r="CC53" s="357"/>
    </row>
    <row r="54" spans="1:90" x14ac:dyDescent="0.3">
      <c r="C54" s="14"/>
      <c r="D54" s="13" t="s">
        <v>11</v>
      </c>
      <c r="E54" s="12" t="s">
        <v>3</v>
      </c>
      <c r="F54" s="11" t="s">
        <v>9</v>
      </c>
      <c r="G54" s="11" t="s">
        <v>8</v>
      </c>
      <c r="H54" s="11" t="s">
        <v>7</v>
      </c>
      <c r="I54" s="10" t="s">
        <v>271</v>
      </c>
      <c r="J54" s="14"/>
      <c r="L54" s="14"/>
      <c r="M54" s="13" t="s">
        <v>11</v>
      </c>
      <c r="N54" s="12" t="s">
        <v>3</v>
      </c>
      <c r="O54" s="11" t="s">
        <v>9</v>
      </c>
      <c r="P54" s="11" t="s">
        <v>8</v>
      </c>
      <c r="Q54" s="11" t="s">
        <v>7</v>
      </c>
      <c r="R54" s="10" t="s">
        <v>271</v>
      </c>
      <c r="U54" s="14"/>
      <c r="V54" s="13" t="s">
        <v>11</v>
      </c>
      <c r="W54" s="12" t="s">
        <v>3</v>
      </c>
      <c r="X54" s="11" t="s">
        <v>9</v>
      </c>
      <c r="Y54" s="11" t="s">
        <v>8</v>
      </c>
      <c r="Z54" s="11" t="s">
        <v>7</v>
      </c>
      <c r="AA54" s="10" t="s">
        <v>271</v>
      </c>
      <c r="AD54" s="14"/>
      <c r="AE54" s="13" t="s">
        <v>11</v>
      </c>
      <c r="AF54" s="12" t="s">
        <v>3</v>
      </c>
      <c r="AG54" s="11" t="s">
        <v>9</v>
      </c>
      <c r="AH54" s="11" t="s">
        <v>8</v>
      </c>
      <c r="AI54" s="11" t="s">
        <v>7</v>
      </c>
      <c r="AJ54" s="10" t="s">
        <v>271</v>
      </c>
      <c r="AM54" s="14"/>
      <c r="AN54" s="13" t="s">
        <v>11</v>
      </c>
      <c r="AO54" s="12" t="s">
        <v>3</v>
      </c>
      <c r="AP54" s="11" t="s">
        <v>9</v>
      </c>
      <c r="AQ54" s="11" t="s">
        <v>8</v>
      </c>
      <c r="AR54" s="11" t="s">
        <v>7</v>
      </c>
      <c r="AS54" s="10" t="s">
        <v>271</v>
      </c>
      <c r="AV54" s="14"/>
      <c r="AW54" s="13" t="s">
        <v>11</v>
      </c>
      <c r="AX54" s="12" t="s">
        <v>3</v>
      </c>
      <c r="AY54" s="11" t="s">
        <v>9</v>
      </c>
      <c r="AZ54" s="11" t="s">
        <v>8</v>
      </c>
      <c r="BA54" s="11" t="s">
        <v>7</v>
      </c>
      <c r="BB54" s="10" t="s">
        <v>271</v>
      </c>
      <c r="BD54" s="53"/>
      <c r="BE54" s="14"/>
      <c r="BF54" s="13" t="s">
        <v>222</v>
      </c>
      <c r="BG54" s="25" t="s">
        <v>3</v>
      </c>
      <c r="BH54" s="24" t="s">
        <v>212</v>
      </c>
      <c r="BI54" s="24" t="s">
        <v>213</v>
      </c>
      <c r="BJ54" s="24" t="s">
        <v>214</v>
      </c>
      <c r="BK54" s="23" t="s">
        <v>215</v>
      </c>
      <c r="BN54" s="14"/>
      <c r="BO54" s="13" t="s">
        <v>11</v>
      </c>
      <c r="BP54" s="65" t="s">
        <v>3</v>
      </c>
      <c r="BQ54" s="64" t="s">
        <v>9</v>
      </c>
      <c r="BR54" s="64" t="s">
        <v>8</v>
      </c>
      <c r="BS54" s="64" t="s">
        <v>7</v>
      </c>
      <c r="BT54" s="63" t="s">
        <v>271</v>
      </c>
      <c r="BV54" s="53"/>
      <c r="BW54" s="14"/>
      <c r="BX54" s="13" t="s">
        <v>222</v>
      </c>
      <c r="BY54" s="25" t="s">
        <v>3</v>
      </c>
      <c r="BZ54" s="24" t="s">
        <v>212</v>
      </c>
      <c r="CA54" s="24" t="s">
        <v>213</v>
      </c>
      <c r="CB54" s="24" t="s">
        <v>214</v>
      </c>
      <c r="CC54" s="23" t="s">
        <v>215</v>
      </c>
    </row>
    <row r="55" spans="1:90" x14ac:dyDescent="0.3">
      <c r="B55" s="42" t="s">
        <v>54</v>
      </c>
      <c r="C55" s="361" t="s">
        <v>14</v>
      </c>
      <c r="D55" s="9" t="s">
        <v>3</v>
      </c>
      <c r="E55" s="18" t="s">
        <v>3</v>
      </c>
      <c r="F55" s="8" t="s">
        <v>9</v>
      </c>
      <c r="G55" s="8" t="s">
        <v>8</v>
      </c>
      <c r="H55" s="8" t="s">
        <v>7</v>
      </c>
      <c r="I55" s="7" t="s">
        <v>271</v>
      </c>
      <c r="J55" s="14"/>
      <c r="K55" s="42" t="s">
        <v>54</v>
      </c>
      <c r="L55" s="361" t="s">
        <v>76</v>
      </c>
      <c r="M55" s="9" t="s">
        <v>3</v>
      </c>
      <c r="N55" s="18" t="s">
        <v>3</v>
      </c>
      <c r="O55" s="8" t="s">
        <v>9</v>
      </c>
      <c r="P55" s="8" t="s">
        <v>8</v>
      </c>
      <c r="Q55" s="8" t="s">
        <v>7</v>
      </c>
      <c r="R55" s="7" t="s">
        <v>271</v>
      </c>
      <c r="T55" s="42" t="s">
        <v>54</v>
      </c>
      <c r="U55" s="361" t="s">
        <v>79</v>
      </c>
      <c r="V55" s="9" t="s">
        <v>3</v>
      </c>
      <c r="W55" s="18" t="s">
        <v>3</v>
      </c>
      <c r="X55" s="8" t="s">
        <v>9</v>
      </c>
      <c r="Y55" s="8" t="s">
        <v>8</v>
      </c>
      <c r="Z55" s="8" t="s">
        <v>7</v>
      </c>
      <c r="AA55" s="7" t="s">
        <v>271</v>
      </c>
      <c r="AC55" s="42" t="s">
        <v>55</v>
      </c>
      <c r="AD55" s="361" t="s">
        <v>75</v>
      </c>
      <c r="AE55" s="9" t="s">
        <v>3</v>
      </c>
      <c r="AF55" s="18" t="s">
        <v>3</v>
      </c>
      <c r="AG55" s="8" t="s">
        <v>9</v>
      </c>
      <c r="AH55" s="8" t="s">
        <v>8</v>
      </c>
      <c r="AI55" s="8" t="s">
        <v>7</v>
      </c>
      <c r="AJ55" s="7" t="s">
        <v>271</v>
      </c>
      <c r="AL55" s="42" t="s">
        <v>55</v>
      </c>
      <c r="AM55" s="361" t="s">
        <v>82</v>
      </c>
      <c r="AN55" s="9" t="s">
        <v>3</v>
      </c>
      <c r="AO55" s="18" t="s">
        <v>3</v>
      </c>
      <c r="AP55" s="8" t="s">
        <v>9</v>
      </c>
      <c r="AQ55" s="8" t="s">
        <v>8</v>
      </c>
      <c r="AR55" s="8" t="s">
        <v>7</v>
      </c>
      <c r="AS55" s="7" t="s">
        <v>271</v>
      </c>
      <c r="AU55" s="42" t="s">
        <v>54</v>
      </c>
      <c r="AV55" s="361" t="s">
        <v>14</v>
      </c>
      <c r="AW55" s="9" t="s">
        <v>3</v>
      </c>
      <c r="AX55" s="18" t="s">
        <v>3</v>
      </c>
      <c r="AY55" s="8" t="s">
        <v>9</v>
      </c>
      <c r="AZ55" s="8" t="s">
        <v>8</v>
      </c>
      <c r="BA55" s="8" t="s">
        <v>7</v>
      </c>
      <c r="BB55" s="7" t="s">
        <v>271</v>
      </c>
      <c r="BD55" s="42" t="s">
        <v>54</v>
      </c>
      <c r="BE55" s="342" t="s">
        <v>221</v>
      </c>
      <c r="BF55" s="62" t="s">
        <v>3</v>
      </c>
      <c r="BG55" s="17" t="s">
        <v>3</v>
      </c>
      <c r="BH55" s="281" t="s">
        <v>212</v>
      </c>
      <c r="BI55" s="58" t="s">
        <v>213</v>
      </c>
      <c r="BJ55" s="281" t="s">
        <v>214</v>
      </c>
      <c r="BK55" s="57" t="s">
        <v>215</v>
      </c>
      <c r="BM55" s="42" t="s">
        <v>54</v>
      </c>
      <c r="BN55" s="361" t="s">
        <v>10</v>
      </c>
      <c r="BO55" s="62" t="s">
        <v>3</v>
      </c>
      <c r="BP55" s="18" t="s">
        <v>3</v>
      </c>
      <c r="BQ55" s="61" t="s">
        <v>9</v>
      </c>
      <c r="BR55" s="61" t="s">
        <v>8</v>
      </c>
      <c r="BS55" s="61" t="s">
        <v>7</v>
      </c>
      <c r="BT55" s="60" t="s">
        <v>271</v>
      </c>
      <c r="BV55" s="42" t="s">
        <v>54</v>
      </c>
      <c r="BW55" s="342" t="s">
        <v>221</v>
      </c>
      <c r="BX55" s="62" t="s">
        <v>3</v>
      </c>
      <c r="BY55" s="17" t="s">
        <v>3</v>
      </c>
      <c r="BZ55" s="281" t="s">
        <v>212</v>
      </c>
      <c r="CA55" s="58" t="s">
        <v>213</v>
      </c>
      <c r="CB55" s="281" t="s">
        <v>214</v>
      </c>
      <c r="CC55" s="57" t="s">
        <v>215</v>
      </c>
    </row>
    <row r="56" spans="1:90" x14ac:dyDescent="0.3">
      <c r="C56" s="345"/>
      <c r="D56" s="6" t="s">
        <v>9</v>
      </c>
      <c r="E56" s="17" t="s">
        <v>9</v>
      </c>
      <c r="F56" s="5" t="s">
        <v>9</v>
      </c>
      <c r="G56" s="5" t="s">
        <v>8</v>
      </c>
      <c r="H56" s="5" t="s">
        <v>7</v>
      </c>
      <c r="I56" s="4" t="s">
        <v>271</v>
      </c>
      <c r="J56" s="14"/>
      <c r="L56" s="345"/>
      <c r="M56" s="6" t="s">
        <v>9</v>
      </c>
      <c r="N56" s="17" t="s">
        <v>9</v>
      </c>
      <c r="O56" s="5" t="s">
        <v>9</v>
      </c>
      <c r="P56" s="5" t="s">
        <v>8</v>
      </c>
      <c r="Q56" s="5" t="s">
        <v>7</v>
      </c>
      <c r="R56" s="4" t="s">
        <v>271</v>
      </c>
      <c r="U56" s="345"/>
      <c r="V56" s="6" t="s">
        <v>9</v>
      </c>
      <c r="W56" s="17" t="s">
        <v>9</v>
      </c>
      <c r="X56" s="5" t="s">
        <v>9</v>
      </c>
      <c r="Y56" s="5" t="s">
        <v>8</v>
      </c>
      <c r="Z56" s="5" t="s">
        <v>7</v>
      </c>
      <c r="AA56" s="4" t="s">
        <v>271</v>
      </c>
      <c r="AD56" s="345"/>
      <c r="AE56" s="6" t="s">
        <v>9</v>
      </c>
      <c r="AF56" s="17" t="s">
        <v>9</v>
      </c>
      <c r="AG56" s="5" t="s">
        <v>9</v>
      </c>
      <c r="AH56" s="5" t="s">
        <v>8</v>
      </c>
      <c r="AI56" s="5" t="s">
        <v>7</v>
      </c>
      <c r="AJ56" s="4" t="s">
        <v>271</v>
      </c>
      <c r="AM56" s="345"/>
      <c r="AN56" s="6" t="s">
        <v>9</v>
      </c>
      <c r="AO56" s="17" t="s">
        <v>9</v>
      </c>
      <c r="AP56" s="5" t="s">
        <v>9</v>
      </c>
      <c r="AQ56" s="5" t="s">
        <v>8</v>
      </c>
      <c r="AR56" s="5" t="s">
        <v>7</v>
      </c>
      <c r="AS56" s="4" t="s">
        <v>271</v>
      </c>
      <c r="AV56" s="345"/>
      <c r="AW56" s="6" t="s">
        <v>9</v>
      </c>
      <c r="AX56" s="17" t="s">
        <v>9</v>
      </c>
      <c r="AY56" s="5" t="s">
        <v>9</v>
      </c>
      <c r="AZ56" s="5" t="s">
        <v>8</v>
      </c>
      <c r="BA56" s="5" t="s">
        <v>7</v>
      </c>
      <c r="BB56" s="4" t="s">
        <v>271</v>
      </c>
      <c r="BD56" s="53"/>
      <c r="BE56" s="343"/>
      <c r="BF56" s="59" t="s">
        <v>212</v>
      </c>
      <c r="BG56" s="58" t="s">
        <v>212</v>
      </c>
      <c r="BH56" s="58" t="s">
        <v>212</v>
      </c>
      <c r="BI56" s="58" t="s">
        <v>213</v>
      </c>
      <c r="BJ56" s="281" t="s">
        <v>214</v>
      </c>
      <c r="BK56" s="57" t="s">
        <v>215</v>
      </c>
      <c r="BN56" s="345"/>
      <c r="BO56" s="59" t="s">
        <v>9</v>
      </c>
      <c r="BP56" s="17" t="s">
        <v>9</v>
      </c>
      <c r="BQ56" s="58" t="s">
        <v>9</v>
      </c>
      <c r="BR56" s="58" t="s">
        <v>8</v>
      </c>
      <c r="BS56" s="58" t="s">
        <v>7</v>
      </c>
      <c r="BT56" s="57" t="s">
        <v>271</v>
      </c>
      <c r="BV56" s="53"/>
      <c r="BW56" s="343"/>
      <c r="BX56" s="59" t="s">
        <v>212</v>
      </c>
      <c r="BY56" s="58" t="s">
        <v>212</v>
      </c>
      <c r="BZ56" s="58" t="s">
        <v>212</v>
      </c>
      <c r="CA56" s="58" t="s">
        <v>213</v>
      </c>
      <c r="CB56" s="281" t="s">
        <v>214</v>
      </c>
      <c r="CC56" s="57" t="s">
        <v>215</v>
      </c>
    </row>
    <row r="57" spans="1:90" x14ac:dyDescent="0.3">
      <c r="C57" s="345"/>
      <c r="D57" s="6" t="s">
        <v>8</v>
      </c>
      <c r="E57" s="17" t="s">
        <v>8</v>
      </c>
      <c r="F57" s="5" t="s">
        <v>8</v>
      </c>
      <c r="G57" s="5" t="s">
        <v>8</v>
      </c>
      <c r="H57" s="5" t="s">
        <v>7</v>
      </c>
      <c r="I57" s="4" t="s">
        <v>271</v>
      </c>
      <c r="J57" s="14"/>
      <c r="L57" s="345"/>
      <c r="M57" s="6" t="s">
        <v>8</v>
      </c>
      <c r="N57" s="17" t="s">
        <v>8</v>
      </c>
      <c r="O57" s="5" t="s">
        <v>8</v>
      </c>
      <c r="P57" s="5" t="s">
        <v>8</v>
      </c>
      <c r="Q57" s="5" t="s">
        <v>7</v>
      </c>
      <c r="R57" s="4" t="s">
        <v>271</v>
      </c>
      <c r="U57" s="345"/>
      <c r="V57" s="6" t="s">
        <v>8</v>
      </c>
      <c r="W57" s="17" t="s">
        <v>8</v>
      </c>
      <c r="X57" s="5" t="s">
        <v>8</v>
      </c>
      <c r="Y57" s="5" t="s">
        <v>8</v>
      </c>
      <c r="Z57" s="5" t="s">
        <v>7</v>
      </c>
      <c r="AA57" s="4" t="s">
        <v>271</v>
      </c>
      <c r="AD57" s="345"/>
      <c r="AE57" s="6" t="s">
        <v>8</v>
      </c>
      <c r="AF57" s="17" t="s">
        <v>8</v>
      </c>
      <c r="AG57" s="5" t="s">
        <v>8</v>
      </c>
      <c r="AH57" s="5" t="s">
        <v>8</v>
      </c>
      <c r="AI57" s="5" t="s">
        <v>7</v>
      </c>
      <c r="AJ57" s="4" t="s">
        <v>271</v>
      </c>
      <c r="AM57" s="345"/>
      <c r="AN57" s="6" t="s">
        <v>8</v>
      </c>
      <c r="AO57" s="17" t="s">
        <v>8</v>
      </c>
      <c r="AP57" s="5" t="s">
        <v>8</v>
      </c>
      <c r="AQ57" s="5" t="s">
        <v>8</v>
      </c>
      <c r="AR57" s="5" t="s">
        <v>7</v>
      </c>
      <c r="AS57" s="4" t="s">
        <v>271</v>
      </c>
      <c r="AV57" s="345"/>
      <c r="AW57" s="6" t="s">
        <v>8</v>
      </c>
      <c r="AX57" s="17" t="s">
        <v>8</v>
      </c>
      <c r="AY57" s="5" t="s">
        <v>8</v>
      </c>
      <c r="AZ57" s="5" t="s">
        <v>8</v>
      </c>
      <c r="BA57" s="5" t="s">
        <v>7</v>
      </c>
      <c r="BB57" s="4" t="s">
        <v>271</v>
      </c>
      <c r="BD57" s="53"/>
      <c r="BE57" s="343"/>
      <c r="BF57" s="59" t="s">
        <v>213</v>
      </c>
      <c r="BG57" s="58" t="s">
        <v>213</v>
      </c>
      <c r="BH57" s="58" t="s">
        <v>213</v>
      </c>
      <c r="BI57" s="58" t="s">
        <v>213</v>
      </c>
      <c r="BJ57" s="281" t="s">
        <v>214</v>
      </c>
      <c r="BK57" s="57" t="s">
        <v>215</v>
      </c>
      <c r="BN57" s="345"/>
      <c r="BO57" s="59" t="s">
        <v>8</v>
      </c>
      <c r="BP57" s="17" t="s">
        <v>8</v>
      </c>
      <c r="BQ57" s="58" t="s">
        <v>8</v>
      </c>
      <c r="BR57" s="58" t="s">
        <v>8</v>
      </c>
      <c r="BS57" s="58" t="s">
        <v>7</v>
      </c>
      <c r="BT57" s="57" t="s">
        <v>271</v>
      </c>
      <c r="BV57" s="53"/>
      <c r="BW57" s="343"/>
      <c r="BX57" s="59" t="s">
        <v>213</v>
      </c>
      <c r="BY57" s="58" t="s">
        <v>213</v>
      </c>
      <c r="BZ57" s="58" t="s">
        <v>213</v>
      </c>
      <c r="CA57" s="58" t="s">
        <v>213</v>
      </c>
      <c r="CB57" s="281" t="s">
        <v>214</v>
      </c>
      <c r="CC57" s="57" t="s">
        <v>215</v>
      </c>
    </row>
    <row r="58" spans="1:90" x14ac:dyDescent="0.3">
      <c r="C58" s="345"/>
      <c r="D58" s="6" t="s">
        <v>7</v>
      </c>
      <c r="E58" s="17" t="s">
        <v>7</v>
      </c>
      <c r="F58" s="5" t="s">
        <v>7</v>
      </c>
      <c r="G58" s="5" t="s">
        <v>7</v>
      </c>
      <c r="H58" s="5" t="s">
        <v>7</v>
      </c>
      <c r="I58" s="4" t="s">
        <v>271</v>
      </c>
      <c r="J58" s="14"/>
      <c r="L58" s="345"/>
      <c r="M58" s="6" t="s">
        <v>7</v>
      </c>
      <c r="N58" s="17" t="s">
        <v>7</v>
      </c>
      <c r="O58" s="5" t="s">
        <v>7</v>
      </c>
      <c r="P58" s="5" t="s">
        <v>7</v>
      </c>
      <c r="Q58" s="5" t="s">
        <v>7</v>
      </c>
      <c r="R58" s="4" t="s">
        <v>271</v>
      </c>
      <c r="U58" s="345"/>
      <c r="V58" s="6" t="s">
        <v>7</v>
      </c>
      <c r="W58" s="17" t="s">
        <v>7</v>
      </c>
      <c r="X58" s="5" t="s">
        <v>7</v>
      </c>
      <c r="Y58" s="5" t="s">
        <v>7</v>
      </c>
      <c r="Z58" s="5" t="s">
        <v>7</v>
      </c>
      <c r="AA58" s="4" t="s">
        <v>271</v>
      </c>
      <c r="AD58" s="345"/>
      <c r="AE58" s="6" t="s">
        <v>7</v>
      </c>
      <c r="AF58" s="17" t="s">
        <v>7</v>
      </c>
      <c r="AG58" s="5" t="s">
        <v>7</v>
      </c>
      <c r="AH58" s="5" t="s">
        <v>7</v>
      </c>
      <c r="AI58" s="5" t="s">
        <v>7</v>
      </c>
      <c r="AJ58" s="4" t="s">
        <v>271</v>
      </c>
      <c r="AM58" s="345"/>
      <c r="AN58" s="6" t="s">
        <v>7</v>
      </c>
      <c r="AO58" s="17" t="s">
        <v>7</v>
      </c>
      <c r="AP58" s="5" t="s">
        <v>7</v>
      </c>
      <c r="AQ58" s="5" t="s">
        <v>7</v>
      </c>
      <c r="AR58" s="5" t="s">
        <v>7</v>
      </c>
      <c r="AS58" s="4" t="s">
        <v>271</v>
      </c>
      <c r="AV58" s="345"/>
      <c r="AW58" s="6" t="s">
        <v>7</v>
      </c>
      <c r="AX58" s="17" t="s">
        <v>7</v>
      </c>
      <c r="AY58" s="5" t="s">
        <v>7</v>
      </c>
      <c r="AZ58" s="5" t="s">
        <v>7</v>
      </c>
      <c r="BA58" s="5" t="s">
        <v>7</v>
      </c>
      <c r="BB58" s="4" t="s">
        <v>271</v>
      </c>
      <c r="BD58" s="53"/>
      <c r="BE58" s="343"/>
      <c r="BF58" s="59" t="s">
        <v>214</v>
      </c>
      <c r="BG58" s="281" t="s">
        <v>214</v>
      </c>
      <c r="BH58" s="281" t="s">
        <v>214</v>
      </c>
      <c r="BI58" s="281" t="s">
        <v>214</v>
      </c>
      <c r="BJ58" s="281" t="s">
        <v>214</v>
      </c>
      <c r="BK58" s="57" t="s">
        <v>215</v>
      </c>
      <c r="BN58" s="345"/>
      <c r="BO58" s="59" t="s">
        <v>7</v>
      </c>
      <c r="BP58" s="17" t="s">
        <v>7</v>
      </c>
      <c r="BQ58" s="58" t="s">
        <v>7</v>
      </c>
      <c r="BR58" s="58" t="s">
        <v>7</v>
      </c>
      <c r="BS58" s="58" t="s">
        <v>7</v>
      </c>
      <c r="BT58" s="57" t="s">
        <v>271</v>
      </c>
      <c r="BV58" s="53"/>
      <c r="BW58" s="343"/>
      <c r="BX58" s="59" t="s">
        <v>214</v>
      </c>
      <c r="BY58" s="281" t="s">
        <v>214</v>
      </c>
      <c r="BZ58" s="281" t="s">
        <v>214</v>
      </c>
      <c r="CA58" s="281" t="s">
        <v>214</v>
      </c>
      <c r="CB58" s="281" t="s">
        <v>214</v>
      </c>
      <c r="CC58" s="57" t="s">
        <v>215</v>
      </c>
    </row>
    <row r="59" spans="1:90" x14ac:dyDescent="0.3">
      <c r="C59" s="346"/>
      <c r="D59" s="3" t="s">
        <v>271</v>
      </c>
      <c r="E59" s="16" t="s">
        <v>271</v>
      </c>
      <c r="F59" s="2" t="s">
        <v>271</v>
      </c>
      <c r="G59" s="2" t="s">
        <v>271</v>
      </c>
      <c r="H59" s="2" t="s">
        <v>271</v>
      </c>
      <c r="I59" s="1" t="s">
        <v>271</v>
      </c>
      <c r="J59" s="14"/>
      <c r="L59" s="346"/>
      <c r="M59" s="3" t="s">
        <v>271</v>
      </c>
      <c r="N59" s="16" t="s">
        <v>271</v>
      </c>
      <c r="O59" s="2" t="s">
        <v>271</v>
      </c>
      <c r="P59" s="2" t="s">
        <v>271</v>
      </c>
      <c r="Q59" s="2" t="s">
        <v>271</v>
      </c>
      <c r="R59" s="1" t="s">
        <v>271</v>
      </c>
      <c r="U59" s="346"/>
      <c r="V59" s="3" t="s">
        <v>271</v>
      </c>
      <c r="W59" s="16" t="s">
        <v>271</v>
      </c>
      <c r="X59" s="2" t="s">
        <v>271</v>
      </c>
      <c r="Y59" s="2" t="s">
        <v>271</v>
      </c>
      <c r="Z59" s="2" t="s">
        <v>271</v>
      </c>
      <c r="AA59" s="1" t="s">
        <v>271</v>
      </c>
      <c r="AD59" s="346"/>
      <c r="AE59" s="3" t="s">
        <v>271</v>
      </c>
      <c r="AF59" s="16" t="s">
        <v>271</v>
      </c>
      <c r="AG59" s="2" t="s">
        <v>271</v>
      </c>
      <c r="AH59" s="2" t="s">
        <v>271</v>
      </c>
      <c r="AI59" s="2" t="s">
        <v>271</v>
      </c>
      <c r="AJ59" s="1" t="s">
        <v>271</v>
      </c>
      <c r="AM59" s="346"/>
      <c r="AN59" s="3" t="s">
        <v>271</v>
      </c>
      <c r="AO59" s="16" t="s">
        <v>271</v>
      </c>
      <c r="AP59" s="2" t="s">
        <v>271</v>
      </c>
      <c r="AQ59" s="2" t="s">
        <v>271</v>
      </c>
      <c r="AR59" s="2" t="s">
        <v>271</v>
      </c>
      <c r="AS59" s="1" t="s">
        <v>271</v>
      </c>
      <c r="AV59" s="346"/>
      <c r="AW59" s="3" t="s">
        <v>271</v>
      </c>
      <c r="AX59" s="16" t="s">
        <v>271</v>
      </c>
      <c r="AY59" s="2" t="s">
        <v>271</v>
      </c>
      <c r="AZ59" s="2" t="s">
        <v>271</v>
      </c>
      <c r="BA59" s="2" t="s">
        <v>271</v>
      </c>
      <c r="BB59" s="1" t="s">
        <v>271</v>
      </c>
      <c r="BD59" s="53"/>
      <c r="BE59" s="344"/>
      <c r="BF59" s="52" t="s">
        <v>215</v>
      </c>
      <c r="BG59" s="16" t="s">
        <v>215</v>
      </c>
      <c r="BH59" s="55" t="s">
        <v>215</v>
      </c>
      <c r="BI59" s="55" t="s">
        <v>215</v>
      </c>
      <c r="BJ59" s="55" t="s">
        <v>215</v>
      </c>
      <c r="BK59" s="54" t="s">
        <v>215</v>
      </c>
      <c r="BN59" s="346"/>
      <c r="BO59" s="56" t="s">
        <v>271</v>
      </c>
      <c r="BP59" s="16" t="s">
        <v>271</v>
      </c>
      <c r="BQ59" s="55" t="s">
        <v>271</v>
      </c>
      <c r="BR59" s="55" t="s">
        <v>271</v>
      </c>
      <c r="BS59" s="55" t="s">
        <v>271</v>
      </c>
      <c r="BT59" s="54" t="s">
        <v>271</v>
      </c>
      <c r="BV59" s="53"/>
      <c r="BW59" s="344"/>
      <c r="BX59" s="52" t="s">
        <v>215</v>
      </c>
      <c r="BY59" s="16" t="s">
        <v>215</v>
      </c>
      <c r="BZ59" s="55" t="s">
        <v>215</v>
      </c>
      <c r="CA59" s="55" t="s">
        <v>215</v>
      </c>
      <c r="CB59" s="55" t="s">
        <v>215</v>
      </c>
      <c r="CC59" s="54" t="s">
        <v>215</v>
      </c>
    </row>
    <row r="63" spans="1:90" s="288" customFormat="1" x14ac:dyDescent="0.3">
      <c r="A63" s="347" t="s">
        <v>266</v>
      </c>
      <c r="B63" s="348"/>
    </row>
    <row r="64" spans="1:90" x14ac:dyDescent="0.3">
      <c r="A64" s="348"/>
      <c r="B64" s="348"/>
      <c r="AA64" s="289"/>
      <c r="AS64" s="289"/>
      <c r="BT64" s="290" t="s">
        <v>63</v>
      </c>
      <c r="CL64" s="289" t="s">
        <v>37</v>
      </c>
    </row>
    <row r="65" spans="1:90" x14ac:dyDescent="0.3">
      <c r="C65" s="14"/>
      <c r="D65" s="14"/>
      <c r="E65" s="47" t="s">
        <v>54</v>
      </c>
      <c r="F65" s="44"/>
      <c r="G65" s="44"/>
      <c r="H65" s="44"/>
      <c r="I65" s="43" t="s">
        <v>61</v>
      </c>
      <c r="L65" s="14"/>
      <c r="M65" s="14"/>
      <c r="N65" s="47" t="s">
        <v>54</v>
      </c>
      <c r="O65" s="44"/>
      <c r="P65" s="49"/>
      <c r="Q65" s="44"/>
      <c r="R65" s="43" t="s">
        <v>62</v>
      </c>
      <c r="U65" s="14"/>
      <c r="V65" s="14"/>
      <c r="W65" s="47" t="s">
        <v>54</v>
      </c>
      <c r="X65" s="44"/>
      <c r="Y65" s="49"/>
      <c r="Z65" s="44"/>
      <c r="AA65" s="43" t="s">
        <v>63</v>
      </c>
      <c r="AD65" s="14"/>
      <c r="AE65" s="14"/>
      <c r="AF65" s="47" t="s">
        <v>55</v>
      </c>
      <c r="AG65" s="44"/>
      <c r="AH65" s="49"/>
      <c r="AI65" s="44"/>
      <c r="AJ65" s="43" t="s">
        <v>64</v>
      </c>
      <c r="AM65" s="14"/>
      <c r="AN65" s="14"/>
      <c r="AO65" s="47" t="s">
        <v>55</v>
      </c>
      <c r="AP65" s="44"/>
      <c r="AQ65" s="49"/>
      <c r="AR65" s="44"/>
      <c r="AS65" s="43" t="s">
        <v>37</v>
      </c>
      <c r="AU65" s="314" t="s">
        <v>264</v>
      </c>
      <c r="AV65" s="14"/>
      <c r="AW65" s="14"/>
      <c r="AX65" s="47" t="s">
        <v>54</v>
      </c>
      <c r="AY65" s="73"/>
      <c r="AZ65" s="73"/>
      <c r="BA65" s="73"/>
      <c r="BB65" s="43" t="s">
        <v>223</v>
      </c>
      <c r="BC65" s="53"/>
      <c r="BD65" s="53"/>
      <c r="BE65" s="14"/>
      <c r="BF65" s="14"/>
      <c r="BG65" s="47" t="s">
        <v>54</v>
      </c>
      <c r="BH65" s="73"/>
      <c r="BI65" s="49"/>
      <c r="BJ65" s="73"/>
      <c r="BK65" s="43" t="s">
        <v>224</v>
      </c>
      <c r="BL65" s="53"/>
      <c r="BM65" s="53"/>
      <c r="BN65" s="14"/>
      <c r="BO65" s="14"/>
      <c r="BP65" s="47" t="s">
        <v>54</v>
      </c>
      <c r="BQ65" s="73"/>
      <c r="BR65" s="49"/>
      <c r="BS65" s="73"/>
      <c r="BT65" s="43"/>
      <c r="BU65" s="53"/>
      <c r="BV65" s="53"/>
      <c r="BW65" s="14"/>
      <c r="BX65" s="14"/>
      <c r="BY65" s="47" t="s">
        <v>55</v>
      </c>
      <c r="BZ65" s="73"/>
      <c r="CA65" s="49"/>
      <c r="CB65" s="73"/>
      <c r="CC65" s="43" t="s">
        <v>225</v>
      </c>
      <c r="CD65" s="53"/>
      <c r="CE65" s="53"/>
      <c r="CF65" s="14"/>
      <c r="CG65" s="14"/>
      <c r="CH65" s="47" t="s">
        <v>55</v>
      </c>
      <c r="CI65" s="73"/>
      <c r="CJ65" s="49"/>
      <c r="CK65" s="73"/>
      <c r="CL65" s="43"/>
    </row>
    <row r="66" spans="1:90" ht="15.6" x14ac:dyDescent="0.3">
      <c r="B66" s="314" t="s">
        <v>265</v>
      </c>
      <c r="C66" s="14"/>
      <c r="D66" s="15" t="s">
        <v>37</v>
      </c>
      <c r="E66" s="352" t="s">
        <v>44</v>
      </c>
      <c r="F66" s="353"/>
      <c r="G66" s="353"/>
      <c r="H66" s="353"/>
      <c r="I66" s="354"/>
      <c r="L66" s="14"/>
      <c r="M66" s="15" t="s">
        <v>37</v>
      </c>
      <c r="N66" s="352" t="s">
        <v>45</v>
      </c>
      <c r="O66" s="353"/>
      <c r="P66" s="353"/>
      <c r="Q66" s="353"/>
      <c r="R66" s="354"/>
      <c r="U66" s="14"/>
      <c r="V66" s="15" t="s">
        <v>37</v>
      </c>
      <c r="W66" s="352" t="s">
        <v>48</v>
      </c>
      <c r="X66" s="353"/>
      <c r="Y66" s="353"/>
      <c r="Z66" s="353"/>
      <c r="AA66" s="354"/>
      <c r="AD66" s="14"/>
      <c r="AE66" s="15" t="s">
        <v>37</v>
      </c>
      <c r="AF66" s="352" t="s">
        <v>62</v>
      </c>
      <c r="AG66" s="353"/>
      <c r="AH66" s="353"/>
      <c r="AI66" s="353"/>
      <c r="AJ66" s="354"/>
      <c r="AM66" s="14"/>
      <c r="AN66" s="15" t="s">
        <v>37</v>
      </c>
      <c r="AO66" s="352" t="s">
        <v>63</v>
      </c>
      <c r="AP66" s="353"/>
      <c r="AQ66" s="353"/>
      <c r="AR66" s="353"/>
      <c r="AS66" s="354"/>
      <c r="AU66" s="53"/>
      <c r="AV66" s="14"/>
      <c r="AW66" s="66" t="s">
        <v>37</v>
      </c>
      <c r="AX66" s="352" t="s">
        <v>5</v>
      </c>
      <c r="AY66" s="353"/>
      <c r="AZ66" s="353"/>
      <c r="BA66" s="353"/>
      <c r="BB66" s="354"/>
      <c r="BC66" s="53"/>
      <c r="BD66" s="53"/>
      <c r="BE66" s="14"/>
      <c r="BF66" s="66" t="s">
        <v>37</v>
      </c>
      <c r="BG66" s="352" t="s">
        <v>45</v>
      </c>
      <c r="BH66" s="353"/>
      <c r="BI66" s="353"/>
      <c r="BJ66" s="353"/>
      <c r="BK66" s="354"/>
      <c r="BL66" s="53"/>
      <c r="BM66" s="53"/>
      <c r="BN66" s="14"/>
      <c r="BO66" s="66" t="s">
        <v>37</v>
      </c>
      <c r="BP66" s="352" t="s">
        <v>48</v>
      </c>
      <c r="BQ66" s="353"/>
      <c r="BR66" s="353"/>
      <c r="BS66" s="353"/>
      <c r="BT66" s="354"/>
      <c r="BU66" s="53"/>
      <c r="BV66" s="53"/>
      <c r="BW66" s="14"/>
      <c r="BX66" s="66" t="s">
        <v>37</v>
      </c>
      <c r="BY66" s="352" t="s">
        <v>224</v>
      </c>
      <c r="BZ66" s="353"/>
      <c r="CA66" s="353"/>
      <c r="CB66" s="353"/>
      <c r="CC66" s="354"/>
      <c r="CD66" s="53"/>
      <c r="CE66" s="53"/>
      <c r="CF66" s="14"/>
      <c r="CG66" s="66" t="s">
        <v>37</v>
      </c>
      <c r="CH66" s="352" t="s">
        <v>63</v>
      </c>
      <c r="CI66" s="353"/>
      <c r="CJ66" s="353"/>
      <c r="CK66" s="353"/>
      <c r="CL66" s="354"/>
    </row>
    <row r="67" spans="1:90" x14ac:dyDescent="0.3">
      <c r="C67" s="48"/>
      <c r="D67" s="13" t="s">
        <v>49</v>
      </c>
      <c r="E67" s="12" t="s">
        <v>3</v>
      </c>
      <c r="F67" s="11" t="s">
        <v>4</v>
      </c>
      <c r="G67" s="11" t="s">
        <v>2</v>
      </c>
      <c r="H67" s="11" t="s">
        <v>1</v>
      </c>
      <c r="I67" s="10" t="s">
        <v>269</v>
      </c>
      <c r="L67" s="48"/>
      <c r="M67" s="13" t="s">
        <v>50</v>
      </c>
      <c r="N67" s="12" t="s">
        <v>3</v>
      </c>
      <c r="O67" s="11" t="s">
        <v>4</v>
      </c>
      <c r="P67" s="11" t="s">
        <v>2</v>
      </c>
      <c r="Q67" s="11" t="s">
        <v>1</v>
      </c>
      <c r="R67" s="10" t="s">
        <v>269</v>
      </c>
      <c r="U67" s="48"/>
      <c r="V67" s="13" t="s">
        <v>51</v>
      </c>
      <c r="W67" s="12" t="s">
        <v>3</v>
      </c>
      <c r="X67" s="11" t="s">
        <v>4</v>
      </c>
      <c r="Y67" s="11" t="s">
        <v>2</v>
      </c>
      <c r="Z67" s="11" t="s">
        <v>1</v>
      </c>
      <c r="AA67" s="10" t="s">
        <v>269</v>
      </c>
      <c r="AD67" s="48"/>
      <c r="AE67" s="34" t="s">
        <v>52</v>
      </c>
      <c r="AF67" s="65" t="s">
        <v>3</v>
      </c>
      <c r="AG67" s="64" t="s">
        <v>84</v>
      </c>
      <c r="AH67" s="64" t="s">
        <v>85</v>
      </c>
      <c r="AI67" s="64" t="s">
        <v>86</v>
      </c>
      <c r="AJ67" s="63" t="s">
        <v>272</v>
      </c>
      <c r="AM67" s="48"/>
      <c r="AN67" s="34" t="s">
        <v>52</v>
      </c>
      <c r="AO67" s="65" t="s">
        <v>3</v>
      </c>
      <c r="AP67" s="24" t="s">
        <v>84</v>
      </c>
      <c r="AQ67" s="24" t="s">
        <v>85</v>
      </c>
      <c r="AR67" s="24" t="s">
        <v>86</v>
      </c>
      <c r="AS67" s="23" t="s">
        <v>272</v>
      </c>
      <c r="AU67" s="53"/>
      <c r="AV67" s="48"/>
      <c r="AW67" s="13" t="s">
        <v>49</v>
      </c>
      <c r="AX67" s="65" t="s">
        <v>3</v>
      </c>
      <c r="AY67" s="64" t="s">
        <v>4</v>
      </c>
      <c r="AZ67" s="64" t="s">
        <v>2</v>
      </c>
      <c r="BA67" s="64" t="s">
        <v>1</v>
      </c>
      <c r="BB67" s="63" t="s">
        <v>269</v>
      </c>
      <c r="BC67" s="53"/>
      <c r="BD67" s="53"/>
      <c r="BE67" s="48"/>
      <c r="BF67" s="13" t="s">
        <v>50</v>
      </c>
      <c r="BG67" s="65" t="s">
        <v>3</v>
      </c>
      <c r="BH67" s="64" t="s">
        <v>4</v>
      </c>
      <c r="BI67" s="64" t="s">
        <v>2</v>
      </c>
      <c r="BJ67" s="64" t="s">
        <v>1</v>
      </c>
      <c r="BK67" s="63" t="s">
        <v>269</v>
      </c>
      <c r="BL67" s="53"/>
      <c r="BM67" s="53"/>
      <c r="BN67" s="48"/>
      <c r="BO67" s="13" t="s">
        <v>51</v>
      </c>
      <c r="BP67" s="65" t="s">
        <v>3</v>
      </c>
      <c r="BQ67" s="64" t="s">
        <v>4</v>
      </c>
      <c r="BR67" s="64" t="s">
        <v>2</v>
      </c>
      <c r="BS67" s="64" t="s">
        <v>1</v>
      </c>
      <c r="BT67" s="63" t="s">
        <v>269</v>
      </c>
      <c r="BU67" s="53"/>
      <c r="BV67" s="53"/>
      <c r="BW67" s="48"/>
      <c r="BX67" s="34" t="s">
        <v>52</v>
      </c>
      <c r="BY67" s="65" t="s">
        <v>3</v>
      </c>
      <c r="BZ67" s="64" t="s">
        <v>84</v>
      </c>
      <c r="CA67" s="64" t="s">
        <v>85</v>
      </c>
      <c r="CB67" s="64" t="s">
        <v>86</v>
      </c>
      <c r="CC67" s="63" t="s">
        <v>272</v>
      </c>
      <c r="CD67" s="53"/>
      <c r="CE67" s="53"/>
      <c r="CF67" s="48"/>
      <c r="CG67" s="34" t="s">
        <v>52</v>
      </c>
      <c r="CH67" s="65" t="s">
        <v>3</v>
      </c>
      <c r="CI67" s="24" t="s">
        <v>84</v>
      </c>
      <c r="CJ67" s="24" t="s">
        <v>85</v>
      </c>
      <c r="CK67" s="24" t="s">
        <v>86</v>
      </c>
      <c r="CL67" s="23" t="s">
        <v>272</v>
      </c>
    </row>
    <row r="68" spans="1:90" x14ac:dyDescent="0.3">
      <c r="B68" s="42" t="s">
        <v>54</v>
      </c>
      <c r="C68" s="349" t="s">
        <v>6</v>
      </c>
      <c r="D68" s="65" t="s">
        <v>3</v>
      </c>
      <c r="E68" s="18" t="s">
        <v>3</v>
      </c>
      <c r="F68" s="61" t="s">
        <v>4</v>
      </c>
      <c r="G68" s="61" t="s">
        <v>2</v>
      </c>
      <c r="H68" s="61" t="s">
        <v>1</v>
      </c>
      <c r="I68" s="60" t="s">
        <v>269</v>
      </c>
      <c r="K68" s="42" t="s">
        <v>54</v>
      </c>
      <c r="L68" s="349" t="s">
        <v>5</v>
      </c>
      <c r="M68" s="9" t="s">
        <v>3</v>
      </c>
      <c r="N68" s="18" t="s">
        <v>3</v>
      </c>
      <c r="O68" s="61" t="s">
        <v>4</v>
      </c>
      <c r="P68" s="61" t="s">
        <v>2</v>
      </c>
      <c r="Q68" s="61" t="s">
        <v>1</v>
      </c>
      <c r="R68" s="60" t="s">
        <v>269</v>
      </c>
      <c r="T68" s="42" t="s">
        <v>54</v>
      </c>
      <c r="U68" s="349" t="s">
        <v>47</v>
      </c>
      <c r="V68" s="65" t="s">
        <v>3</v>
      </c>
      <c r="W68" s="18" t="s">
        <v>3</v>
      </c>
      <c r="X68" s="61" t="s">
        <v>4</v>
      </c>
      <c r="Y68" s="61" t="s">
        <v>1</v>
      </c>
      <c r="Z68" s="61" t="s">
        <v>269</v>
      </c>
      <c r="AA68" s="60" t="s">
        <v>269</v>
      </c>
      <c r="AC68" s="42" t="s">
        <v>55</v>
      </c>
      <c r="AD68" s="349" t="s">
        <v>61</v>
      </c>
      <c r="AE68" s="65" t="s">
        <v>3</v>
      </c>
      <c r="AF68" s="18" t="s">
        <v>3</v>
      </c>
      <c r="AG68" s="61" t="s">
        <v>84</v>
      </c>
      <c r="AH68" s="61" t="s">
        <v>85</v>
      </c>
      <c r="AI68" s="61" t="s">
        <v>86</v>
      </c>
      <c r="AJ68" s="60" t="s">
        <v>272</v>
      </c>
      <c r="AL68" s="42" t="s">
        <v>55</v>
      </c>
      <c r="AM68" s="349" t="s">
        <v>64</v>
      </c>
      <c r="AN68" s="62" t="s">
        <v>3</v>
      </c>
      <c r="AO68" s="18" t="s">
        <v>3</v>
      </c>
      <c r="AP68" s="61" t="s">
        <v>84</v>
      </c>
      <c r="AQ68" s="61" t="s">
        <v>85</v>
      </c>
      <c r="AR68" s="61" t="s">
        <v>86</v>
      </c>
      <c r="AS68" s="60" t="s">
        <v>272</v>
      </c>
      <c r="AU68" s="42" t="s">
        <v>54</v>
      </c>
      <c r="AV68" s="349" t="s">
        <v>6</v>
      </c>
      <c r="AW68" s="62" t="s">
        <v>3</v>
      </c>
      <c r="AX68" s="18" t="s">
        <v>3</v>
      </c>
      <c r="AY68" s="61" t="s">
        <v>4</v>
      </c>
      <c r="AZ68" s="61" t="s">
        <v>1</v>
      </c>
      <c r="BA68" s="61" t="s">
        <v>269</v>
      </c>
      <c r="BB68" s="60" t="s">
        <v>269</v>
      </c>
      <c r="BC68" s="53"/>
      <c r="BD68" s="42" t="s">
        <v>54</v>
      </c>
      <c r="BE68" s="349" t="s">
        <v>44</v>
      </c>
      <c r="BF68" s="62" t="s">
        <v>3</v>
      </c>
      <c r="BG68" s="18" t="s">
        <v>3</v>
      </c>
      <c r="BH68" s="61" t="s">
        <v>4</v>
      </c>
      <c r="BI68" s="61" t="s">
        <v>1</v>
      </c>
      <c r="BJ68" s="61" t="s">
        <v>269</v>
      </c>
      <c r="BK68" s="60" t="s">
        <v>269</v>
      </c>
      <c r="BL68" s="53"/>
      <c r="BM68" s="42" t="s">
        <v>54</v>
      </c>
      <c r="BN68" s="349" t="s">
        <v>47</v>
      </c>
      <c r="BO68" s="62" t="s">
        <v>3</v>
      </c>
      <c r="BP68" s="18" t="s">
        <v>3</v>
      </c>
      <c r="BQ68" s="61" t="s">
        <v>4</v>
      </c>
      <c r="BR68" s="61" t="s">
        <v>1</v>
      </c>
      <c r="BS68" s="61" t="s">
        <v>269</v>
      </c>
      <c r="BT68" s="60" t="s">
        <v>269</v>
      </c>
      <c r="BU68" s="53"/>
      <c r="BV68" s="42" t="s">
        <v>55</v>
      </c>
      <c r="BW68" s="349" t="s">
        <v>223</v>
      </c>
      <c r="BX68" s="65" t="s">
        <v>3</v>
      </c>
      <c r="BY68" s="18" t="s">
        <v>3</v>
      </c>
      <c r="BZ68" s="61" t="s">
        <v>84</v>
      </c>
      <c r="CA68" s="61" t="s">
        <v>86</v>
      </c>
      <c r="CB68" s="61" t="s">
        <v>272</v>
      </c>
      <c r="CC68" s="60" t="s">
        <v>272</v>
      </c>
      <c r="CD68" s="53"/>
      <c r="CE68" s="42" t="s">
        <v>55</v>
      </c>
      <c r="CF68" s="349" t="s">
        <v>225</v>
      </c>
      <c r="CG68" s="62" t="s">
        <v>3</v>
      </c>
      <c r="CH68" s="18" t="s">
        <v>3</v>
      </c>
      <c r="CI68" s="61" t="s">
        <v>84</v>
      </c>
      <c r="CJ68" s="61" t="s">
        <v>86</v>
      </c>
      <c r="CK68" s="61" t="s">
        <v>272</v>
      </c>
      <c r="CL68" s="60" t="s">
        <v>272</v>
      </c>
    </row>
    <row r="69" spans="1:90" x14ac:dyDescent="0.3">
      <c r="C69" s="350"/>
      <c r="D69" s="51" t="s">
        <v>4</v>
      </c>
      <c r="E69" s="17" t="s">
        <v>4</v>
      </c>
      <c r="F69" s="281" t="s">
        <v>4</v>
      </c>
      <c r="G69" s="281" t="s">
        <v>2</v>
      </c>
      <c r="H69" s="281" t="s">
        <v>1</v>
      </c>
      <c r="I69" s="57" t="s">
        <v>269</v>
      </c>
      <c r="L69" s="350"/>
      <c r="M69" s="6" t="s">
        <v>4</v>
      </c>
      <c r="N69" s="17" t="s">
        <v>4</v>
      </c>
      <c r="O69" s="281" t="s">
        <v>4</v>
      </c>
      <c r="P69" s="281" t="s">
        <v>2</v>
      </c>
      <c r="Q69" s="281" t="s">
        <v>1</v>
      </c>
      <c r="R69" s="57" t="s">
        <v>269</v>
      </c>
      <c r="U69" s="350"/>
      <c r="V69" s="51" t="s">
        <v>4</v>
      </c>
      <c r="W69" s="17" t="s">
        <v>4</v>
      </c>
      <c r="X69" s="281" t="s">
        <v>4</v>
      </c>
      <c r="Y69" s="281" t="s">
        <v>2</v>
      </c>
      <c r="Z69" s="281" t="s">
        <v>269</v>
      </c>
      <c r="AA69" s="57" t="s">
        <v>269</v>
      </c>
      <c r="AD69" s="350"/>
      <c r="AE69" s="51" t="s">
        <v>84</v>
      </c>
      <c r="AF69" s="17" t="s">
        <v>84</v>
      </c>
      <c r="AG69" s="281" t="s">
        <v>84</v>
      </c>
      <c r="AH69" s="281" t="s">
        <v>85</v>
      </c>
      <c r="AI69" s="281" t="s">
        <v>86</v>
      </c>
      <c r="AJ69" s="57" t="s">
        <v>272</v>
      </c>
      <c r="AM69" s="350"/>
      <c r="AN69" s="59" t="s">
        <v>84</v>
      </c>
      <c r="AO69" s="17" t="s">
        <v>84</v>
      </c>
      <c r="AP69" s="281" t="s">
        <v>84</v>
      </c>
      <c r="AQ69" s="281" t="s">
        <v>85</v>
      </c>
      <c r="AR69" s="281" t="s">
        <v>86</v>
      </c>
      <c r="AS69" s="57" t="s">
        <v>272</v>
      </c>
      <c r="AU69" s="53"/>
      <c r="AV69" s="350"/>
      <c r="AW69" s="51" t="s">
        <v>4</v>
      </c>
      <c r="AX69" s="17" t="s">
        <v>4</v>
      </c>
      <c r="AY69" s="281" t="s">
        <v>4</v>
      </c>
      <c r="AZ69" s="281" t="s">
        <v>2</v>
      </c>
      <c r="BA69" s="281" t="s">
        <v>269</v>
      </c>
      <c r="BB69" s="57" t="s">
        <v>269</v>
      </c>
      <c r="BC69" s="53"/>
      <c r="BD69" s="53"/>
      <c r="BE69" s="350"/>
      <c r="BF69" s="59" t="s">
        <v>4</v>
      </c>
      <c r="BG69" s="17" t="s">
        <v>4</v>
      </c>
      <c r="BH69" s="281" t="s">
        <v>4</v>
      </c>
      <c r="BI69" s="281" t="s">
        <v>2</v>
      </c>
      <c r="BJ69" s="281" t="s">
        <v>269</v>
      </c>
      <c r="BK69" s="57" t="s">
        <v>269</v>
      </c>
      <c r="BL69" s="53"/>
      <c r="BM69" s="53"/>
      <c r="BN69" s="350"/>
      <c r="BO69" s="59" t="s">
        <v>4</v>
      </c>
      <c r="BP69" s="17" t="s">
        <v>4</v>
      </c>
      <c r="BQ69" s="281" t="s">
        <v>4</v>
      </c>
      <c r="BR69" s="281" t="s">
        <v>2</v>
      </c>
      <c r="BS69" s="281" t="s">
        <v>269</v>
      </c>
      <c r="BT69" s="57" t="s">
        <v>269</v>
      </c>
      <c r="BU69" s="53"/>
      <c r="BV69" s="53"/>
      <c r="BW69" s="350"/>
      <c r="BX69" s="51" t="s">
        <v>84</v>
      </c>
      <c r="BY69" s="17" t="s">
        <v>84</v>
      </c>
      <c r="BZ69" s="281" t="s">
        <v>84</v>
      </c>
      <c r="CA69" s="281" t="s">
        <v>85</v>
      </c>
      <c r="CB69" s="281" t="s">
        <v>272</v>
      </c>
      <c r="CC69" s="57" t="s">
        <v>272</v>
      </c>
      <c r="CD69" s="53"/>
      <c r="CE69" s="53"/>
      <c r="CF69" s="350"/>
      <c r="CG69" s="59" t="s">
        <v>84</v>
      </c>
      <c r="CH69" s="17" t="s">
        <v>84</v>
      </c>
      <c r="CI69" s="281" t="s">
        <v>84</v>
      </c>
      <c r="CJ69" s="281" t="s">
        <v>85</v>
      </c>
      <c r="CK69" s="281" t="s">
        <v>272</v>
      </c>
      <c r="CL69" s="57" t="s">
        <v>272</v>
      </c>
    </row>
    <row r="70" spans="1:90" x14ac:dyDescent="0.3">
      <c r="C70" s="350"/>
      <c r="D70" s="51" t="s">
        <v>2</v>
      </c>
      <c r="E70" s="17" t="s">
        <v>2</v>
      </c>
      <c r="F70" s="281" t="s">
        <v>2</v>
      </c>
      <c r="G70" s="281" t="s">
        <v>2</v>
      </c>
      <c r="H70" s="281" t="s">
        <v>1</v>
      </c>
      <c r="I70" s="57" t="s">
        <v>269</v>
      </c>
      <c r="L70" s="350"/>
      <c r="M70" s="6" t="s">
        <v>2</v>
      </c>
      <c r="N70" s="17" t="s">
        <v>2</v>
      </c>
      <c r="O70" s="281" t="s">
        <v>2</v>
      </c>
      <c r="P70" s="281" t="s">
        <v>2</v>
      </c>
      <c r="Q70" s="281" t="s">
        <v>1</v>
      </c>
      <c r="R70" s="57" t="s">
        <v>269</v>
      </c>
      <c r="U70" s="350"/>
      <c r="V70" s="51" t="s">
        <v>2</v>
      </c>
      <c r="W70" s="17" t="s">
        <v>1</v>
      </c>
      <c r="X70" s="281" t="s">
        <v>2</v>
      </c>
      <c r="Y70" s="281" t="s">
        <v>2</v>
      </c>
      <c r="Z70" s="281" t="s">
        <v>1</v>
      </c>
      <c r="AA70" s="57" t="s">
        <v>269</v>
      </c>
      <c r="AD70" s="350"/>
      <c r="AE70" s="51" t="s">
        <v>85</v>
      </c>
      <c r="AF70" s="17" t="s">
        <v>85</v>
      </c>
      <c r="AG70" s="281" t="s">
        <v>85</v>
      </c>
      <c r="AH70" s="281" t="s">
        <v>85</v>
      </c>
      <c r="AI70" s="281" t="s">
        <v>86</v>
      </c>
      <c r="AJ70" s="57" t="s">
        <v>272</v>
      </c>
      <c r="AM70" s="350"/>
      <c r="AN70" s="59" t="s">
        <v>85</v>
      </c>
      <c r="AO70" s="17" t="s">
        <v>85</v>
      </c>
      <c r="AP70" s="281" t="s">
        <v>85</v>
      </c>
      <c r="AQ70" s="281" t="s">
        <v>85</v>
      </c>
      <c r="AR70" s="281" t="s">
        <v>86</v>
      </c>
      <c r="AS70" s="57" t="s">
        <v>272</v>
      </c>
      <c r="AU70" s="53"/>
      <c r="AV70" s="350"/>
      <c r="AW70" s="51" t="s">
        <v>2</v>
      </c>
      <c r="AX70" s="17" t="s">
        <v>1</v>
      </c>
      <c r="AY70" s="281" t="s">
        <v>2</v>
      </c>
      <c r="AZ70" s="281" t="s">
        <v>2</v>
      </c>
      <c r="BA70" s="281" t="s">
        <v>1</v>
      </c>
      <c r="BB70" s="57" t="s">
        <v>269</v>
      </c>
      <c r="BC70" s="53"/>
      <c r="BD70" s="53"/>
      <c r="BE70" s="350"/>
      <c r="BF70" s="59" t="s">
        <v>2</v>
      </c>
      <c r="BG70" s="17" t="s">
        <v>1</v>
      </c>
      <c r="BH70" s="281" t="s">
        <v>2</v>
      </c>
      <c r="BI70" s="281" t="s">
        <v>2</v>
      </c>
      <c r="BJ70" s="281" t="s">
        <v>1</v>
      </c>
      <c r="BK70" s="57" t="s">
        <v>269</v>
      </c>
      <c r="BL70" s="53"/>
      <c r="BM70" s="53"/>
      <c r="BN70" s="350"/>
      <c r="BO70" s="59" t="s">
        <v>2</v>
      </c>
      <c r="BP70" s="17" t="s">
        <v>1</v>
      </c>
      <c r="BQ70" s="281" t="s">
        <v>2</v>
      </c>
      <c r="BR70" s="281" t="s">
        <v>2</v>
      </c>
      <c r="BS70" s="281" t="s">
        <v>1</v>
      </c>
      <c r="BT70" s="57" t="s">
        <v>269</v>
      </c>
      <c r="BU70" s="53"/>
      <c r="BV70" s="53"/>
      <c r="BW70" s="350"/>
      <c r="BX70" s="51" t="s">
        <v>85</v>
      </c>
      <c r="BY70" s="17" t="s">
        <v>86</v>
      </c>
      <c r="BZ70" s="281" t="s">
        <v>85</v>
      </c>
      <c r="CA70" s="281" t="s">
        <v>85</v>
      </c>
      <c r="CB70" s="281" t="s">
        <v>86</v>
      </c>
      <c r="CC70" s="57" t="s">
        <v>272</v>
      </c>
      <c r="CD70" s="53"/>
      <c r="CE70" s="53"/>
      <c r="CF70" s="350"/>
      <c r="CG70" s="59" t="s">
        <v>85</v>
      </c>
      <c r="CH70" s="17" t="s">
        <v>86</v>
      </c>
      <c r="CI70" s="281" t="s">
        <v>85</v>
      </c>
      <c r="CJ70" s="281" t="s">
        <v>85</v>
      </c>
      <c r="CK70" s="281" t="s">
        <v>86</v>
      </c>
      <c r="CL70" s="57" t="s">
        <v>272</v>
      </c>
    </row>
    <row r="71" spans="1:90" x14ac:dyDescent="0.3">
      <c r="C71" s="350"/>
      <c r="D71" s="51" t="s">
        <v>1</v>
      </c>
      <c r="E71" s="17" t="s">
        <v>1</v>
      </c>
      <c r="F71" s="281" t="s">
        <v>1</v>
      </c>
      <c r="G71" s="281" t="s">
        <v>1</v>
      </c>
      <c r="H71" s="281" t="s">
        <v>1</v>
      </c>
      <c r="I71" s="57" t="s">
        <v>269</v>
      </c>
      <c r="L71" s="350"/>
      <c r="M71" s="6" t="s">
        <v>1</v>
      </c>
      <c r="N71" s="17" t="s">
        <v>1</v>
      </c>
      <c r="O71" s="281" t="s">
        <v>1</v>
      </c>
      <c r="P71" s="281" t="s">
        <v>1</v>
      </c>
      <c r="Q71" s="281" t="s">
        <v>1</v>
      </c>
      <c r="R71" s="57" t="s">
        <v>269</v>
      </c>
      <c r="U71" s="350"/>
      <c r="V71" s="51" t="s">
        <v>1</v>
      </c>
      <c r="W71" s="17" t="s">
        <v>269</v>
      </c>
      <c r="X71" s="281" t="s">
        <v>269</v>
      </c>
      <c r="Y71" s="281" t="s">
        <v>1</v>
      </c>
      <c r="Z71" s="281" t="s">
        <v>1</v>
      </c>
      <c r="AA71" s="57" t="s">
        <v>269</v>
      </c>
      <c r="AD71" s="350"/>
      <c r="AE71" s="51" t="s">
        <v>86</v>
      </c>
      <c r="AF71" s="17" t="s">
        <v>86</v>
      </c>
      <c r="AG71" s="281" t="s">
        <v>86</v>
      </c>
      <c r="AH71" s="281" t="s">
        <v>86</v>
      </c>
      <c r="AI71" s="281" t="s">
        <v>86</v>
      </c>
      <c r="AJ71" s="57" t="s">
        <v>272</v>
      </c>
      <c r="AM71" s="350"/>
      <c r="AN71" s="59" t="s">
        <v>86</v>
      </c>
      <c r="AO71" s="17" t="s">
        <v>86</v>
      </c>
      <c r="AP71" s="281" t="s">
        <v>86</v>
      </c>
      <c r="AQ71" s="281" t="s">
        <v>86</v>
      </c>
      <c r="AR71" s="281" t="s">
        <v>86</v>
      </c>
      <c r="AS71" s="57" t="s">
        <v>272</v>
      </c>
      <c r="AU71" s="53"/>
      <c r="AV71" s="350"/>
      <c r="AW71" s="51" t="s">
        <v>1</v>
      </c>
      <c r="AX71" s="17" t="s">
        <v>269</v>
      </c>
      <c r="AY71" s="281" t="s">
        <v>269</v>
      </c>
      <c r="AZ71" s="281" t="s">
        <v>1</v>
      </c>
      <c r="BA71" s="281" t="s">
        <v>1</v>
      </c>
      <c r="BB71" s="57" t="s">
        <v>269</v>
      </c>
      <c r="BC71" s="53"/>
      <c r="BD71" s="53"/>
      <c r="BE71" s="350"/>
      <c r="BF71" s="59" t="s">
        <v>1</v>
      </c>
      <c r="BG71" s="17" t="s">
        <v>269</v>
      </c>
      <c r="BH71" s="281" t="s">
        <v>269</v>
      </c>
      <c r="BI71" s="281" t="s">
        <v>1</v>
      </c>
      <c r="BJ71" s="281" t="s">
        <v>1</v>
      </c>
      <c r="BK71" s="57" t="s">
        <v>269</v>
      </c>
      <c r="BL71" s="53"/>
      <c r="BM71" s="53"/>
      <c r="BN71" s="350"/>
      <c r="BO71" s="59" t="s">
        <v>1</v>
      </c>
      <c r="BP71" s="17" t="s">
        <v>269</v>
      </c>
      <c r="BQ71" s="281" t="s">
        <v>269</v>
      </c>
      <c r="BR71" s="281" t="s">
        <v>1</v>
      </c>
      <c r="BS71" s="281" t="s">
        <v>1</v>
      </c>
      <c r="BT71" s="57" t="s">
        <v>269</v>
      </c>
      <c r="BU71" s="53"/>
      <c r="BV71" s="53"/>
      <c r="BW71" s="350"/>
      <c r="BX71" s="51" t="s">
        <v>86</v>
      </c>
      <c r="BY71" s="17" t="s">
        <v>272</v>
      </c>
      <c r="BZ71" s="281" t="s">
        <v>272</v>
      </c>
      <c r="CA71" s="281" t="s">
        <v>86</v>
      </c>
      <c r="CB71" s="281" t="s">
        <v>86</v>
      </c>
      <c r="CC71" s="57" t="s">
        <v>272</v>
      </c>
      <c r="CD71" s="53"/>
      <c r="CE71" s="53"/>
      <c r="CF71" s="350"/>
      <c r="CG71" s="59" t="s">
        <v>86</v>
      </c>
      <c r="CH71" s="17" t="s">
        <v>272</v>
      </c>
      <c r="CI71" s="281" t="s">
        <v>272</v>
      </c>
      <c r="CJ71" s="281" t="s">
        <v>86</v>
      </c>
      <c r="CK71" s="281" t="s">
        <v>86</v>
      </c>
      <c r="CL71" s="57" t="s">
        <v>272</v>
      </c>
    </row>
    <row r="72" spans="1:90" x14ac:dyDescent="0.3">
      <c r="C72" s="351"/>
      <c r="D72" s="52" t="s">
        <v>269</v>
      </c>
      <c r="E72" s="16" t="s">
        <v>269</v>
      </c>
      <c r="F72" s="55" t="s">
        <v>269</v>
      </c>
      <c r="G72" s="55" t="s">
        <v>269</v>
      </c>
      <c r="H72" s="55" t="s">
        <v>269</v>
      </c>
      <c r="I72" s="54" t="s">
        <v>269</v>
      </c>
      <c r="L72" s="351"/>
      <c r="M72" s="3" t="s">
        <v>269</v>
      </c>
      <c r="N72" s="16" t="s">
        <v>269</v>
      </c>
      <c r="O72" s="55" t="s">
        <v>269</v>
      </c>
      <c r="P72" s="55" t="s">
        <v>269</v>
      </c>
      <c r="Q72" s="55" t="s">
        <v>269</v>
      </c>
      <c r="R72" s="54" t="s">
        <v>269</v>
      </c>
      <c r="U72" s="351"/>
      <c r="V72" s="52" t="s">
        <v>269</v>
      </c>
      <c r="W72" s="16" t="s">
        <v>269</v>
      </c>
      <c r="X72" s="55" t="s">
        <v>269</v>
      </c>
      <c r="Y72" s="55" t="s">
        <v>269</v>
      </c>
      <c r="Z72" s="55" t="s">
        <v>269</v>
      </c>
      <c r="AA72" s="54" t="s">
        <v>269</v>
      </c>
      <c r="AD72" s="351"/>
      <c r="AE72" s="52" t="s">
        <v>272</v>
      </c>
      <c r="AF72" s="16" t="s">
        <v>272</v>
      </c>
      <c r="AG72" s="55" t="s">
        <v>272</v>
      </c>
      <c r="AH72" s="55" t="s">
        <v>272</v>
      </c>
      <c r="AI72" s="55" t="s">
        <v>272</v>
      </c>
      <c r="AJ72" s="54" t="s">
        <v>272</v>
      </c>
      <c r="AM72" s="351"/>
      <c r="AN72" s="56" t="s">
        <v>272</v>
      </c>
      <c r="AO72" s="16" t="s">
        <v>272</v>
      </c>
      <c r="AP72" s="55" t="s">
        <v>272</v>
      </c>
      <c r="AQ72" s="55" t="s">
        <v>272</v>
      </c>
      <c r="AR72" s="55" t="s">
        <v>272</v>
      </c>
      <c r="AS72" s="54" t="s">
        <v>272</v>
      </c>
      <c r="AU72" s="53"/>
      <c r="AV72" s="351"/>
      <c r="AW72" s="52" t="s">
        <v>269</v>
      </c>
      <c r="AX72" s="16" t="s">
        <v>269</v>
      </c>
      <c r="AY72" s="55" t="s">
        <v>269</v>
      </c>
      <c r="AZ72" s="55" t="s">
        <v>269</v>
      </c>
      <c r="BA72" s="55" t="s">
        <v>269</v>
      </c>
      <c r="BB72" s="54" t="s">
        <v>269</v>
      </c>
      <c r="BC72" s="53"/>
      <c r="BD72" s="53"/>
      <c r="BE72" s="351"/>
      <c r="BF72" s="56" t="s">
        <v>269</v>
      </c>
      <c r="BG72" s="16" t="s">
        <v>269</v>
      </c>
      <c r="BH72" s="55" t="s">
        <v>269</v>
      </c>
      <c r="BI72" s="55" t="s">
        <v>269</v>
      </c>
      <c r="BJ72" s="55" t="s">
        <v>269</v>
      </c>
      <c r="BK72" s="54" t="s">
        <v>269</v>
      </c>
      <c r="BL72" s="53"/>
      <c r="BM72" s="53"/>
      <c r="BN72" s="351"/>
      <c r="BO72" s="56" t="s">
        <v>269</v>
      </c>
      <c r="BP72" s="16" t="s">
        <v>269</v>
      </c>
      <c r="BQ72" s="55" t="s">
        <v>269</v>
      </c>
      <c r="BR72" s="55" t="s">
        <v>269</v>
      </c>
      <c r="BS72" s="55" t="s">
        <v>269</v>
      </c>
      <c r="BT72" s="54" t="s">
        <v>269</v>
      </c>
      <c r="BU72" s="53"/>
      <c r="BV72" s="53"/>
      <c r="BW72" s="351"/>
      <c r="BX72" s="52" t="s">
        <v>272</v>
      </c>
      <c r="BY72" s="16" t="s">
        <v>272</v>
      </c>
      <c r="BZ72" s="55" t="s">
        <v>272</v>
      </c>
      <c r="CA72" s="55" t="s">
        <v>272</v>
      </c>
      <c r="CB72" s="55" t="s">
        <v>272</v>
      </c>
      <c r="CC72" s="54" t="s">
        <v>272</v>
      </c>
      <c r="CD72" s="53"/>
      <c r="CE72" s="53"/>
      <c r="CF72" s="351"/>
      <c r="CG72" s="56" t="s">
        <v>272</v>
      </c>
      <c r="CH72" s="16" t="s">
        <v>272</v>
      </c>
      <c r="CI72" s="55" t="s">
        <v>272</v>
      </c>
      <c r="CJ72" s="55" t="s">
        <v>272</v>
      </c>
      <c r="CK72" s="55" t="s">
        <v>272</v>
      </c>
      <c r="CL72" s="54" t="s">
        <v>272</v>
      </c>
    </row>
    <row r="77" spans="1:90" s="288" customFormat="1" x14ac:dyDescent="0.3">
      <c r="A77" s="347" t="s">
        <v>25</v>
      </c>
      <c r="B77" s="347"/>
    </row>
    <row r="78" spans="1:90" s="53" customFormat="1" x14ac:dyDescent="0.3">
      <c r="A78" s="347"/>
      <c r="B78" s="347"/>
      <c r="U78" s="33"/>
      <c r="V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</row>
    <row r="79" spans="1:90" x14ac:dyDescent="0.3">
      <c r="E79" s="43" t="s">
        <v>53</v>
      </c>
      <c r="F79" s="36"/>
      <c r="G79" s="36"/>
      <c r="H79" s="36"/>
      <c r="I79" s="43" t="s">
        <v>30</v>
      </c>
      <c r="N79" s="43" t="s">
        <v>53</v>
      </c>
      <c r="O79" s="36"/>
      <c r="P79" s="36"/>
      <c r="Q79" s="36"/>
      <c r="R79" s="43" t="s">
        <v>31</v>
      </c>
      <c r="S79" s="30"/>
      <c r="T79" s="30"/>
      <c r="W79" s="43" t="s">
        <v>53</v>
      </c>
      <c r="X79" s="36"/>
      <c r="Y79" s="36"/>
      <c r="Z79" s="36"/>
      <c r="AA79" s="43" t="s">
        <v>72</v>
      </c>
      <c r="AC79" s="68"/>
      <c r="AD79" s="53"/>
      <c r="AE79" s="53"/>
      <c r="AF79" s="43" t="s">
        <v>53</v>
      </c>
      <c r="AG79" s="36"/>
      <c r="AH79" s="36"/>
      <c r="AI79" s="36"/>
      <c r="AJ79" s="43" t="s">
        <v>211</v>
      </c>
      <c r="AL79" s="53"/>
      <c r="AM79" s="69"/>
      <c r="AN79" s="69"/>
      <c r="AO79" s="43" t="s">
        <v>55</v>
      </c>
      <c r="AP79" s="36"/>
      <c r="AQ79" s="36"/>
      <c r="AR79" s="36"/>
      <c r="AS79" s="43" t="s">
        <v>216</v>
      </c>
      <c r="AV79" s="31"/>
      <c r="AW79" s="31"/>
      <c r="AX79" s="43" t="s">
        <v>55</v>
      </c>
      <c r="AY79" s="36"/>
      <c r="AZ79" s="36"/>
      <c r="BA79" s="36"/>
      <c r="BB79" s="43" t="s">
        <v>73</v>
      </c>
      <c r="BE79" s="31"/>
      <c r="BF79" s="31"/>
      <c r="BG79" s="43" t="s">
        <v>55</v>
      </c>
      <c r="BH79" s="36"/>
      <c r="BI79" s="36"/>
      <c r="BJ79" s="36"/>
      <c r="BK79" s="43" t="s">
        <v>56</v>
      </c>
      <c r="BP79" s="43" t="s">
        <v>53</v>
      </c>
      <c r="BQ79" s="36"/>
      <c r="BR79" s="36"/>
      <c r="BS79" s="36"/>
      <c r="BT79" s="43" t="s">
        <v>38</v>
      </c>
    </row>
    <row r="80" spans="1:90" ht="15.6" x14ac:dyDescent="0.3">
      <c r="C80" s="14"/>
      <c r="D80" s="15" t="s">
        <v>38</v>
      </c>
      <c r="E80" s="339" t="s">
        <v>23</v>
      </c>
      <c r="F80" s="340"/>
      <c r="G80" s="340"/>
      <c r="H80" s="340"/>
      <c r="I80" s="341"/>
      <c r="L80" s="14"/>
      <c r="M80" s="15" t="s">
        <v>38</v>
      </c>
      <c r="N80" s="339" t="s">
        <v>23</v>
      </c>
      <c r="O80" s="340"/>
      <c r="P80" s="340"/>
      <c r="Q80" s="340"/>
      <c r="R80" s="341"/>
      <c r="S80" s="30"/>
      <c r="T80" s="30"/>
      <c r="U80" s="14"/>
      <c r="V80" s="15" t="s">
        <v>38</v>
      </c>
      <c r="W80" s="339" t="s">
        <v>23</v>
      </c>
      <c r="X80" s="340"/>
      <c r="Y80" s="340"/>
      <c r="Z80" s="340"/>
      <c r="AA80" s="341"/>
      <c r="AC80" s="68"/>
      <c r="AD80" s="14"/>
      <c r="AE80" s="66" t="s">
        <v>38</v>
      </c>
      <c r="AF80" s="339" t="s">
        <v>23</v>
      </c>
      <c r="AG80" s="340"/>
      <c r="AH80" s="340"/>
      <c r="AI80" s="340"/>
      <c r="AJ80" s="341"/>
      <c r="AL80" s="53"/>
      <c r="AM80" s="69"/>
      <c r="AN80" s="66" t="s">
        <v>38</v>
      </c>
      <c r="AO80" s="339" t="s">
        <v>72</v>
      </c>
      <c r="AP80" s="340"/>
      <c r="AQ80" s="340"/>
      <c r="AR80" s="340"/>
      <c r="AS80" s="341"/>
      <c r="AV80" s="31"/>
      <c r="AW80" s="15" t="s">
        <v>38</v>
      </c>
      <c r="AX80" s="339" t="s">
        <v>31</v>
      </c>
      <c r="AY80" s="340"/>
      <c r="AZ80" s="340"/>
      <c r="BA80" s="340"/>
      <c r="BB80" s="341"/>
      <c r="BE80" s="31"/>
      <c r="BF80" s="15" t="s">
        <v>38</v>
      </c>
      <c r="BG80" s="339" t="s">
        <v>216</v>
      </c>
      <c r="BH80" s="340"/>
      <c r="BI80" s="340"/>
      <c r="BJ80" s="340"/>
      <c r="BK80" s="341"/>
      <c r="BN80" s="14"/>
      <c r="BO80" s="15" t="s">
        <v>38</v>
      </c>
      <c r="BP80" s="359" t="s">
        <v>42</v>
      </c>
      <c r="BQ80" s="359"/>
      <c r="BR80" s="359"/>
      <c r="BS80" s="359"/>
      <c r="BT80" s="359"/>
    </row>
    <row r="81" spans="1:73" x14ac:dyDescent="0.3">
      <c r="C81" s="20" t="s">
        <v>25</v>
      </c>
      <c r="D81" s="13" t="s">
        <v>26</v>
      </c>
      <c r="E81" s="12" t="s">
        <v>3</v>
      </c>
      <c r="F81" s="11" t="s">
        <v>21</v>
      </c>
      <c r="G81" s="295" t="s">
        <v>17</v>
      </c>
      <c r="H81" s="11" t="s">
        <v>268</v>
      </c>
      <c r="I81" s="294" t="s">
        <v>267</v>
      </c>
      <c r="L81" s="20" t="s">
        <v>13</v>
      </c>
      <c r="M81" s="13" t="s">
        <v>26</v>
      </c>
      <c r="N81" s="12" t="s">
        <v>3</v>
      </c>
      <c r="O81" s="11" t="s">
        <v>21</v>
      </c>
      <c r="P81" s="295" t="s">
        <v>17</v>
      </c>
      <c r="Q81" s="11" t="s">
        <v>268</v>
      </c>
      <c r="R81" s="294" t="s">
        <v>267</v>
      </c>
      <c r="S81" s="29"/>
      <c r="T81" s="30"/>
      <c r="U81" s="20" t="s">
        <v>28</v>
      </c>
      <c r="V81" s="13" t="s">
        <v>26</v>
      </c>
      <c r="W81" s="12" t="s">
        <v>3</v>
      </c>
      <c r="X81" s="11" t="s">
        <v>21</v>
      </c>
      <c r="Y81" s="295" t="s">
        <v>17</v>
      </c>
      <c r="Z81" s="11" t="s">
        <v>268</v>
      </c>
      <c r="AA81" s="294" t="s">
        <v>267</v>
      </c>
      <c r="AC81" s="68"/>
      <c r="AD81" s="20" t="s">
        <v>13</v>
      </c>
      <c r="AE81" s="13" t="s">
        <v>26</v>
      </c>
      <c r="AF81" s="65" t="s">
        <v>3</v>
      </c>
      <c r="AG81" s="64" t="s">
        <v>21</v>
      </c>
      <c r="AH81" s="301" t="s">
        <v>17</v>
      </c>
      <c r="AI81" s="64" t="s">
        <v>268</v>
      </c>
      <c r="AJ81" s="306" t="s">
        <v>267</v>
      </c>
      <c r="AL81" s="53"/>
      <c r="AM81" s="70"/>
      <c r="AN81" s="67" t="s">
        <v>32</v>
      </c>
      <c r="AO81" s="65" t="s">
        <v>3</v>
      </c>
      <c r="AP81" s="64" t="s">
        <v>21</v>
      </c>
      <c r="AQ81" s="295" t="s">
        <v>17</v>
      </c>
      <c r="AR81" s="64" t="s">
        <v>268</v>
      </c>
      <c r="AS81" s="294" t="s">
        <v>267</v>
      </c>
      <c r="AV81" s="32"/>
      <c r="AW81" s="21" t="s">
        <v>32</v>
      </c>
      <c r="AX81" s="12" t="s">
        <v>3</v>
      </c>
      <c r="AY81" s="11" t="s">
        <v>21</v>
      </c>
      <c r="AZ81" s="301" t="s">
        <v>17</v>
      </c>
      <c r="BA81" s="64" t="s">
        <v>268</v>
      </c>
      <c r="BB81" s="306" t="s">
        <v>267</v>
      </c>
      <c r="BE81" s="46"/>
      <c r="BF81" s="21" t="s">
        <v>43</v>
      </c>
      <c r="BG81" s="12" t="s">
        <v>3</v>
      </c>
      <c r="BH81" s="11" t="s">
        <v>21</v>
      </c>
      <c r="BI81" s="301" t="s">
        <v>17</v>
      </c>
      <c r="BJ81" s="64" t="s">
        <v>268</v>
      </c>
      <c r="BK81" s="306" t="s">
        <v>267</v>
      </c>
      <c r="BN81" s="20" t="s">
        <v>39</v>
      </c>
      <c r="BO81" s="13" t="s">
        <v>26</v>
      </c>
      <c r="BP81" s="65" t="s">
        <v>3</v>
      </c>
      <c r="BQ81" s="64" t="s">
        <v>22</v>
      </c>
      <c r="BR81" s="64" t="s">
        <v>20</v>
      </c>
      <c r="BS81" s="64" t="s">
        <v>18</v>
      </c>
      <c r="BT81" s="293" t="s">
        <v>270</v>
      </c>
    </row>
    <row r="82" spans="1:73" x14ac:dyDescent="0.3">
      <c r="B82" s="42" t="s">
        <v>55</v>
      </c>
      <c r="C82" s="349" t="s">
        <v>38</v>
      </c>
      <c r="D82" s="62" t="s">
        <v>3</v>
      </c>
      <c r="E82" s="61" t="s">
        <v>3</v>
      </c>
      <c r="F82" s="61" t="s">
        <v>21</v>
      </c>
      <c r="G82" s="299" t="s">
        <v>17</v>
      </c>
      <c r="H82" s="61" t="s">
        <v>268</v>
      </c>
      <c r="I82" s="292" t="s">
        <v>267</v>
      </c>
      <c r="J82" s="53"/>
      <c r="K82" s="42" t="s">
        <v>54</v>
      </c>
      <c r="L82" s="342" t="s">
        <v>74</v>
      </c>
      <c r="M82" s="65" t="s">
        <v>3</v>
      </c>
      <c r="N82" s="18" t="s">
        <v>3</v>
      </c>
      <c r="O82" s="61" t="s">
        <v>21</v>
      </c>
      <c r="P82" s="299" t="s">
        <v>17</v>
      </c>
      <c r="Q82" s="61" t="s">
        <v>268</v>
      </c>
      <c r="R82" s="292" t="s">
        <v>267</v>
      </c>
      <c r="S82" s="53"/>
      <c r="T82" s="42" t="s">
        <v>54</v>
      </c>
      <c r="U82" s="364" t="s">
        <v>56</v>
      </c>
      <c r="V82" s="62" t="s">
        <v>3</v>
      </c>
      <c r="W82" s="18" t="s">
        <v>3</v>
      </c>
      <c r="X82" s="61" t="s">
        <v>21</v>
      </c>
      <c r="Y82" s="299" t="s">
        <v>17</v>
      </c>
      <c r="Z82" s="61" t="s">
        <v>268</v>
      </c>
      <c r="AA82" s="292" t="s">
        <v>267</v>
      </c>
      <c r="AB82" s="53"/>
      <c r="AC82" s="42" t="s">
        <v>54</v>
      </c>
      <c r="AD82" s="342" t="s">
        <v>207</v>
      </c>
      <c r="AE82" s="65" t="s">
        <v>3</v>
      </c>
      <c r="AF82" s="18" t="s">
        <v>3</v>
      </c>
      <c r="AG82" s="61" t="s">
        <v>21</v>
      </c>
      <c r="AH82" s="299" t="s">
        <v>17</v>
      </c>
      <c r="AI82" s="61" t="s">
        <v>268</v>
      </c>
      <c r="AJ82" s="292" t="s">
        <v>267</v>
      </c>
      <c r="AK82" s="53"/>
      <c r="AL82" s="42" t="s">
        <v>55</v>
      </c>
      <c r="AM82" s="361" t="s">
        <v>211</v>
      </c>
      <c r="AN82" s="62" t="s">
        <v>3</v>
      </c>
      <c r="AO82" s="18" t="s">
        <v>3</v>
      </c>
      <c r="AP82" s="61" t="s">
        <v>21</v>
      </c>
      <c r="AQ82" s="299" t="s">
        <v>17</v>
      </c>
      <c r="AR82" s="61" t="s">
        <v>268</v>
      </c>
      <c r="AS82" s="292" t="s">
        <v>267</v>
      </c>
      <c r="AU82" s="42" t="s">
        <v>55</v>
      </c>
      <c r="AV82" s="361" t="s">
        <v>30</v>
      </c>
      <c r="AW82" s="65" t="s">
        <v>3</v>
      </c>
      <c r="AX82" s="18" t="s">
        <v>3</v>
      </c>
      <c r="AY82" s="61" t="s">
        <v>21</v>
      </c>
      <c r="AZ82" s="299" t="s">
        <v>17</v>
      </c>
      <c r="BA82" s="61" t="s">
        <v>268</v>
      </c>
      <c r="BB82" s="292" t="s">
        <v>267</v>
      </c>
      <c r="BD82" s="42" t="s">
        <v>55</v>
      </c>
      <c r="BE82" s="361" t="s">
        <v>73</v>
      </c>
      <c r="BF82" s="62" t="s">
        <v>3</v>
      </c>
      <c r="BG82" s="18" t="s">
        <v>3</v>
      </c>
      <c r="BH82" s="61" t="s">
        <v>21</v>
      </c>
      <c r="BI82" s="299" t="s">
        <v>17</v>
      </c>
      <c r="BJ82" s="61" t="s">
        <v>268</v>
      </c>
      <c r="BK82" s="292" t="s">
        <v>267</v>
      </c>
      <c r="BM82" s="42" t="s">
        <v>54</v>
      </c>
      <c r="BN82" s="349" t="s">
        <v>38</v>
      </c>
      <c r="BO82" s="62" t="s">
        <v>3</v>
      </c>
      <c r="BP82" s="18" t="s">
        <v>3</v>
      </c>
      <c r="BQ82" s="61" t="s">
        <v>22</v>
      </c>
      <c r="BR82" s="61" t="s">
        <v>20</v>
      </c>
      <c r="BS82" s="61" t="s">
        <v>18</v>
      </c>
      <c r="BT82" s="292" t="s">
        <v>270</v>
      </c>
      <c r="BU82" s="53"/>
    </row>
    <row r="83" spans="1:73" x14ac:dyDescent="0.3">
      <c r="C83" s="350"/>
      <c r="D83" s="59" t="s">
        <v>22</v>
      </c>
      <c r="E83" s="281" t="s">
        <v>17</v>
      </c>
      <c r="F83" s="281" t="s">
        <v>17</v>
      </c>
      <c r="G83" s="295" t="s">
        <v>17</v>
      </c>
      <c r="H83" s="281" t="s">
        <v>268</v>
      </c>
      <c r="I83" s="294" t="s">
        <v>267</v>
      </c>
      <c r="J83" s="53"/>
      <c r="L83" s="343"/>
      <c r="M83" s="51" t="s">
        <v>9</v>
      </c>
      <c r="N83" s="17" t="s">
        <v>17</v>
      </c>
      <c r="O83" s="281" t="s">
        <v>17</v>
      </c>
      <c r="P83" s="295" t="s">
        <v>17</v>
      </c>
      <c r="Q83" s="281" t="s">
        <v>268</v>
      </c>
      <c r="R83" s="294" t="s">
        <v>267</v>
      </c>
      <c r="S83" s="53"/>
      <c r="U83" s="362"/>
      <c r="V83" s="59" t="s">
        <v>21</v>
      </c>
      <c r="W83" s="17" t="s">
        <v>17</v>
      </c>
      <c r="X83" s="281" t="s">
        <v>17</v>
      </c>
      <c r="Y83" s="295" t="s">
        <v>17</v>
      </c>
      <c r="Z83" s="281" t="s">
        <v>268</v>
      </c>
      <c r="AA83" s="294" t="s">
        <v>267</v>
      </c>
      <c r="AB83" s="53"/>
      <c r="AC83" s="53"/>
      <c r="AD83" s="343"/>
      <c r="AE83" s="51" t="s">
        <v>212</v>
      </c>
      <c r="AF83" s="17" t="s">
        <v>17</v>
      </c>
      <c r="AG83" s="281" t="s">
        <v>17</v>
      </c>
      <c r="AH83" s="295" t="s">
        <v>17</v>
      </c>
      <c r="AI83" s="281" t="s">
        <v>268</v>
      </c>
      <c r="AJ83" s="294" t="s">
        <v>267</v>
      </c>
      <c r="AK83" s="53"/>
      <c r="AL83" s="53"/>
      <c r="AM83" s="345"/>
      <c r="AN83" s="59" t="s">
        <v>21</v>
      </c>
      <c r="AO83" s="17" t="s">
        <v>21</v>
      </c>
      <c r="AP83" s="281" t="s">
        <v>21</v>
      </c>
      <c r="AQ83" s="295" t="s">
        <v>17</v>
      </c>
      <c r="AR83" s="281" t="s">
        <v>268</v>
      </c>
      <c r="AS83" s="294" t="s">
        <v>267</v>
      </c>
      <c r="AV83" s="345"/>
      <c r="AW83" s="51" t="s">
        <v>21</v>
      </c>
      <c r="AX83" s="17" t="s">
        <v>21</v>
      </c>
      <c r="AY83" s="281" t="s">
        <v>21</v>
      </c>
      <c r="AZ83" s="295" t="s">
        <v>17</v>
      </c>
      <c r="BA83" s="281" t="s">
        <v>268</v>
      </c>
      <c r="BB83" s="294" t="s">
        <v>267</v>
      </c>
      <c r="BE83" s="345"/>
      <c r="BF83" s="59" t="s">
        <v>21</v>
      </c>
      <c r="BG83" s="17" t="s">
        <v>21</v>
      </c>
      <c r="BH83" s="281" t="s">
        <v>21</v>
      </c>
      <c r="BI83" s="295" t="s">
        <v>17</v>
      </c>
      <c r="BJ83" s="281" t="s">
        <v>268</v>
      </c>
      <c r="BK83" s="294" t="s">
        <v>267</v>
      </c>
      <c r="BN83" s="350"/>
      <c r="BO83" s="59" t="s">
        <v>22</v>
      </c>
      <c r="BP83" s="17" t="s">
        <v>20</v>
      </c>
      <c r="BQ83" s="281" t="s">
        <v>20</v>
      </c>
      <c r="BR83" s="281" t="s">
        <v>20</v>
      </c>
      <c r="BS83" s="281" t="s">
        <v>18</v>
      </c>
      <c r="BT83" s="294" t="s">
        <v>270</v>
      </c>
      <c r="BU83" s="53"/>
    </row>
    <row r="84" spans="1:73" x14ac:dyDescent="0.3">
      <c r="C84" s="350"/>
      <c r="D84" s="59" t="s">
        <v>20</v>
      </c>
      <c r="E84" s="281" t="s">
        <v>268</v>
      </c>
      <c r="F84" s="295" t="s">
        <v>268</v>
      </c>
      <c r="G84" s="281" t="s">
        <v>268</v>
      </c>
      <c r="H84" s="281" t="s">
        <v>268</v>
      </c>
      <c r="I84" s="294" t="s">
        <v>267</v>
      </c>
      <c r="J84" s="53"/>
      <c r="L84" s="343"/>
      <c r="M84" s="51" t="s">
        <v>8</v>
      </c>
      <c r="N84" s="302" t="s">
        <v>268</v>
      </c>
      <c r="O84" s="295" t="s">
        <v>268</v>
      </c>
      <c r="P84" s="295" t="s">
        <v>268</v>
      </c>
      <c r="Q84" s="281" t="s">
        <v>268</v>
      </c>
      <c r="R84" s="294" t="s">
        <v>267</v>
      </c>
      <c r="S84" s="53"/>
      <c r="U84" s="362"/>
      <c r="V84" s="310" t="s">
        <v>17</v>
      </c>
      <c r="W84" s="302" t="s">
        <v>268</v>
      </c>
      <c r="X84" s="295" t="s">
        <v>268</v>
      </c>
      <c r="Y84" s="295" t="s">
        <v>268</v>
      </c>
      <c r="Z84" s="281" t="s">
        <v>268</v>
      </c>
      <c r="AA84" s="294" t="s">
        <v>267</v>
      </c>
      <c r="AB84" s="53"/>
      <c r="AC84" s="53"/>
      <c r="AD84" s="343"/>
      <c r="AE84" s="51" t="s">
        <v>213</v>
      </c>
      <c r="AF84" s="302" t="s">
        <v>268</v>
      </c>
      <c r="AG84" s="295" t="s">
        <v>268</v>
      </c>
      <c r="AH84" s="295" t="s">
        <v>268</v>
      </c>
      <c r="AI84" s="281" t="s">
        <v>268</v>
      </c>
      <c r="AJ84" s="294" t="s">
        <v>267</v>
      </c>
      <c r="AK84" s="53"/>
      <c r="AL84" s="53"/>
      <c r="AM84" s="345"/>
      <c r="AN84" s="308" t="s">
        <v>17</v>
      </c>
      <c r="AO84" s="302" t="s">
        <v>17</v>
      </c>
      <c r="AP84" s="295" t="s">
        <v>17</v>
      </c>
      <c r="AQ84" s="295" t="s">
        <v>17</v>
      </c>
      <c r="AR84" s="281" t="s">
        <v>268</v>
      </c>
      <c r="AS84" s="294" t="s">
        <v>267</v>
      </c>
      <c r="AV84" s="345"/>
      <c r="AW84" s="309" t="s">
        <v>17</v>
      </c>
      <c r="AX84" s="302" t="s">
        <v>17</v>
      </c>
      <c r="AY84" s="295" t="s">
        <v>17</v>
      </c>
      <c r="AZ84" s="295" t="s">
        <v>17</v>
      </c>
      <c r="BA84" s="281" t="s">
        <v>268</v>
      </c>
      <c r="BB84" s="294" t="s">
        <v>267</v>
      </c>
      <c r="BE84" s="345"/>
      <c r="BF84" s="308" t="s">
        <v>17</v>
      </c>
      <c r="BG84" s="302" t="s">
        <v>17</v>
      </c>
      <c r="BH84" s="295" t="s">
        <v>17</v>
      </c>
      <c r="BI84" s="295" t="s">
        <v>17</v>
      </c>
      <c r="BJ84" s="281" t="s">
        <v>268</v>
      </c>
      <c r="BK84" s="294" t="s">
        <v>267</v>
      </c>
      <c r="BN84" s="350"/>
      <c r="BO84" s="59" t="s">
        <v>20</v>
      </c>
      <c r="BP84" s="17" t="s">
        <v>18</v>
      </c>
      <c r="BQ84" s="281" t="s">
        <v>18</v>
      </c>
      <c r="BR84" s="281" t="s">
        <v>18</v>
      </c>
      <c r="BS84" s="281" t="s">
        <v>18</v>
      </c>
      <c r="BT84" s="294" t="s">
        <v>270</v>
      </c>
      <c r="BU84" s="53"/>
    </row>
    <row r="85" spans="1:73" x14ac:dyDescent="0.3">
      <c r="C85" s="350"/>
      <c r="D85" s="59" t="s">
        <v>18</v>
      </c>
      <c r="E85" s="295" t="s">
        <v>267</v>
      </c>
      <c r="F85" s="295" t="s">
        <v>267</v>
      </c>
      <c r="G85" s="281" t="s">
        <v>267</v>
      </c>
      <c r="H85" s="281" t="s">
        <v>267</v>
      </c>
      <c r="I85" s="294" t="s">
        <v>267</v>
      </c>
      <c r="J85" s="53"/>
      <c r="L85" s="343"/>
      <c r="M85" s="51" t="s">
        <v>7</v>
      </c>
      <c r="N85" s="302" t="s">
        <v>267</v>
      </c>
      <c r="O85" s="295" t="s">
        <v>267</v>
      </c>
      <c r="P85" s="281" t="s">
        <v>267</v>
      </c>
      <c r="Q85" s="281" t="s">
        <v>267</v>
      </c>
      <c r="R85" s="294" t="s">
        <v>267</v>
      </c>
      <c r="S85" s="53"/>
      <c r="U85" s="362"/>
      <c r="V85" s="59" t="s">
        <v>268</v>
      </c>
      <c r="W85" s="302" t="s">
        <v>267</v>
      </c>
      <c r="X85" s="295" t="s">
        <v>267</v>
      </c>
      <c r="Y85" s="281" t="s">
        <v>267</v>
      </c>
      <c r="Z85" s="281" t="s">
        <v>267</v>
      </c>
      <c r="AA85" s="294" t="s">
        <v>267</v>
      </c>
      <c r="AB85" s="53"/>
      <c r="AC85" s="53"/>
      <c r="AD85" s="343"/>
      <c r="AE85" s="51" t="s">
        <v>214</v>
      </c>
      <c r="AF85" s="302" t="s">
        <v>267</v>
      </c>
      <c r="AG85" s="295" t="s">
        <v>267</v>
      </c>
      <c r="AH85" s="281" t="s">
        <v>267</v>
      </c>
      <c r="AI85" s="281" t="s">
        <v>267</v>
      </c>
      <c r="AJ85" s="294" t="s">
        <v>267</v>
      </c>
      <c r="AK85" s="53"/>
      <c r="AL85" s="53"/>
      <c r="AM85" s="345"/>
      <c r="AN85" s="59" t="s">
        <v>268</v>
      </c>
      <c r="AO85" s="17" t="s">
        <v>268</v>
      </c>
      <c r="AP85" s="281" t="s">
        <v>268</v>
      </c>
      <c r="AQ85" s="281" t="s">
        <v>268</v>
      </c>
      <c r="AR85" s="281" t="s">
        <v>268</v>
      </c>
      <c r="AS85" s="294" t="s">
        <v>267</v>
      </c>
      <c r="AV85" s="345"/>
      <c r="AW85" s="51" t="s">
        <v>268</v>
      </c>
      <c r="AX85" s="17" t="s">
        <v>268</v>
      </c>
      <c r="AY85" s="281" t="s">
        <v>268</v>
      </c>
      <c r="AZ85" s="281" t="s">
        <v>268</v>
      </c>
      <c r="BA85" s="281" t="s">
        <v>268</v>
      </c>
      <c r="BB85" s="294" t="s">
        <v>267</v>
      </c>
      <c r="BE85" s="345"/>
      <c r="BF85" s="59" t="s">
        <v>268</v>
      </c>
      <c r="BG85" s="17" t="s">
        <v>268</v>
      </c>
      <c r="BH85" s="281" t="s">
        <v>268</v>
      </c>
      <c r="BI85" s="281" t="s">
        <v>268</v>
      </c>
      <c r="BJ85" s="281" t="s">
        <v>268</v>
      </c>
      <c r="BK85" s="294" t="s">
        <v>267</v>
      </c>
      <c r="BN85" s="350"/>
      <c r="BO85" s="59" t="s">
        <v>18</v>
      </c>
      <c r="BP85" s="17" t="s">
        <v>270</v>
      </c>
      <c r="BQ85" s="281" t="s">
        <v>270</v>
      </c>
      <c r="BR85" s="281" t="s">
        <v>270</v>
      </c>
      <c r="BS85" s="281" t="s">
        <v>270</v>
      </c>
      <c r="BT85" s="294" t="s">
        <v>270</v>
      </c>
      <c r="BU85" s="53"/>
    </row>
    <row r="86" spans="1:73" x14ac:dyDescent="0.3">
      <c r="C86" s="351"/>
      <c r="D86" s="303" t="s">
        <v>270</v>
      </c>
      <c r="E86" s="297" t="s">
        <v>267</v>
      </c>
      <c r="F86" s="297" t="s">
        <v>267</v>
      </c>
      <c r="G86" s="297" t="s">
        <v>267</v>
      </c>
      <c r="H86" s="297" t="s">
        <v>267</v>
      </c>
      <c r="I86" s="298" t="s">
        <v>267</v>
      </c>
      <c r="J86" s="53"/>
      <c r="L86" s="344"/>
      <c r="M86" s="52" t="s">
        <v>271</v>
      </c>
      <c r="N86" s="296" t="s">
        <v>267</v>
      </c>
      <c r="O86" s="297" t="s">
        <v>267</v>
      </c>
      <c r="P86" s="297" t="s">
        <v>267</v>
      </c>
      <c r="Q86" s="297" t="s">
        <v>267</v>
      </c>
      <c r="R86" s="298" t="s">
        <v>267</v>
      </c>
      <c r="S86" s="53"/>
      <c r="U86" s="363"/>
      <c r="V86" s="303" t="s">
        <v>267</v>
      </c>
      <c r="W86" s="296" t="s">
        <v>267</v>
      </c>
      <c r="X86" s="297" t="s">
        <v>267</v>
      </c>
      <c r="Y86" s="297" t="s">
        <v>267</v>
      </c>
      <c r="Z86" s="297" t="s">
        <v>267</v>
      </c>
      <c r="AA86" s="298" t="s">
        <v>267</v>
      </c>
      <c r="AB86" s="53"/>
      <c r="AC86" s="53"/>
      <c r="AD86" s="344"/>
      <c r="AE86" s="52" t="s">
        <v>215</v>
      </c>
      <c r="AF86" s="296" t="s">
        <v>267</v>
      </c>
      <c r="AG86" s="297" t="s">
        <v>267</v>
      </c>
      <c r="AH86" s="297" t="s">
        <v>267</v>
      </c>
      <c r="AI86" s="297" t="s">
        <v>267</v>
      </c>
      <c r="AJ86" s="298" t="s">
        <v>267</v>
      </c>
      <c r="AK86" s="53"/>
      <c r="AL86" s="53"/>
      <c r="AM86" s="346"/>
      <c r="AN86" s="304" t="s">
        <v>267</v>
      </c>
      <c r="AO86" s="296" t="s">
        <v>267</v>
      </c>
      <c r="AP86" s="297" t="s">
        <v>267</v>
      </c>
      <c r="AQ86" s="297" t="s">
        <v>267</v>
      </c>
      <c r="AR86" s="297" t="s">
        <v>267</v>
      </c>
      <c r="AS86" s="298" t="s">
        <v>267</v>
      </c>
      <c r="AV86" s="346"/>
      <c r="AW86" s="305" t="s">
        <v>267</v>
      </c>
      <c r="AX86" s="296" t="s">
        <v>267</v>
      </c>
      <c r="AY86" s="297" t="s">
        <v>267</v>
      </c>
      <c r="AZ86" s="297" t="s">
        <v>267</v>
      </c>
      <c r="BA86" s="297" t="s">
        <v>267</v>
      </c>
      <c r="BB86" s="298" t="s">
        <v>267</v>
      </c>
      <c r="BE86" s="346"/>
      <c r="BF86" s="304" t="s">
        <v>267</v>
      </c>
      <c r="BG86" s="296" t="s">
        <v>267</v>
      </c>
      <c r="BH86" s="297" t="s">
        <v>267</v>
      </c>
      <c r="BI86" s="297" t="s">
        <v>267</v>
      </c>
      <c r="BJ86" s="297" t="s">
        <v>267</v>
      </c>
      <c r="BK86" s="298" t="s">
        <v>267</v>
      </c>
      <c r="BN86" s="351"/>
      <c r="BO86" s="304" t="s">
        <v>270</v>
      </c>
      <c r="BP86" s="296" t="s">
        <v>270</v>
      </c>
      <c r="BQ86" s="297" t="s">
        <v>270</v>
      </c>
      <c r="BR86" s="297" t="s">
        <v>270</v>
      </c>
      <c r="BS86" s="297" t="s">
        <v>270</v>
      </c>
      <c r="BT86" s="298" t="s">
        <v>270</v>
      </c>
      <c r="BU86" s="53"/>
    </row>
    <row r="90" spans="1:73" s="288" customFormat="1" x14ac:dyDescent="0.3">
      <c r="A90" s="347" t="s">
        <v>89</v>
      </c>
      <c r="B90" s="347"/>
    </row>
    <row r="91" spans="1:73" s="53" customFormat="1" x14ac:dyDescent="0.3">
      <c r="A91" s="347"/>
      <c r="B91" s="347"/>
      <c r="U91" s="33"/>
      <c r="V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</row>
    <row r="92" spans="1:73" x14ac:dyDescent="0.3">
      <c r="E92" s="43" t="s">
        <v>53</v>
      </c>
      <c r="F92" s="36"/>
      <c r="G92" s="36"/>
      <c r="H92" s="36"/>
      <c r="I92" s="43" t="s">
        <v>30</v>
      </c>
      <c r="N92" s="43" t="s">
        <v>53</v>
      </c>
      <c r="O92" s="36"/>
      <c r="P92" s="36"/>
      <c r="Q92" s="36"/>
      <c r="R92" s="43" t="s">
        <v>31</v>
      </c>
      <c r="S92" s="30"/>
      <c r="T92" s="53"/>
      <c r="U92" s="53"/>
      <c r="V92" s="53"/>
      <c r="W92" s="43" t="s">
        <v>53</v>
      </c>
      <c r="X92" s="36"/>
      <c r="Y92" s="36"/>
      <c r="Z92" s="36"/>
      <c r="AA92" s="43" t="s">
        <v>211</v>
      </c>
      <c r="AC92" s="30"/>
      <c r="AD92" s="31"/>
      <c r="AE92" s="31"/>
      <c r="AF92" s="43" t="s">
        <v>55</v>
      </c>
      <c r="AG92" s="36"/>
      <c r="AH92" s="36"/>
      <c r="AI92" s="36"/>
      <c r="AJ92" s="43" t="s">
        <v>73</v>
      </c>
      <c r="AL92" s="68"/>
      <c r="AM92" s="69"/>
      <c r="AN92" s="69"/>
      <c r="AO92" s="43" t="s">
        <v>55</v>
      </c>
      <c r="AP92" s="36"/>
      <c r="AQ92" s="36"/>
      <c r="AR92" s="36"/>
      <c r="AS92" s="43" t="s">
        <v>56</v>
      </c>
    </row>
    <row r="93" spans="1:73" ht="15.6" x14ac:dyDescent="0.3">
      <c r="C93" s="14"/>
      <c r="D93" s="15" t="s">
        <v>41</v>
      </c>
      <c r="E93" s="339" t="s">
        <v>23</v>
      </c>
      <c r="F93" s="340"/>
      <c r="G93" s="340"/>
      <c r="H93" s="340"/>
      <c r="I93" s="341"/>
      <c r="L93" s="14"/>
      <c r="M93" s="15" t="s">
        <v>41</v>
      </c>
      <c r="N93" s="339" t="s">
        <v>23</v>
      </c>
      <c r="O93" s="340"/>
      <c r="P93" s="340"/>
      <c r="Q93" s="340"/>
      <c r="R93" s="341"/>
      <c r="S93" s="30"/>
      <c r="T93" s="53"/>
      <c r="U93" s="14"/>
      <c r="V93" s="66" t="s">
        <v>41</v>
      </c>
      <c r="W93" s="339" t="s">
        <v>23</v>
      </c>
      <c r="X93" s="340"/>
      <c r="Y93" s="340"/>
      <c r="Z93" s="340"/>
      <c r="AA93" s="341"/>
      <c r="AC93" s="30"/>
      <c r="AD93" s="31"/>
      <c r="AE93" s="15" t="s">
        <v>41</v>
      </c>
      <c r="AF93" s="358" t="s">
        <v>30</v>
      </c>
      <c r="AG93" s="356"/>
      <c r="AH93" s="356"/>
      <c r="AI93" s="356"/>
      <c r="AJ93" s="357"/>
      <c r="AL93" s="68"/>
      <c r="AM93" s="69"/>
      <c r="AN93" s="66" t="s">
        <v>41</v>
      </c>
      <c r="AO93" s="339" t="s">
        <v>211</v>
      </c>
      <c r="AP93" s="340"/>
      <c r="AQ93" s="340"/>
      <c r="AR93" s="340"/>
      <c r="AS93" s="341"/>
    </row>
    <row r="94" spans="1:73" x14ac:dyDescent="0.3">
      <c r="C94" s="20" t="s">
        <v>39</v>
      </c>
      <c r="D94" s="13" t="s">
        <v>26</v>
      </c>
      <c r="E94" s="12" t="s">
        <v>3</v>
      </c>
      <c r="F94" s="11" t="s">
        <v>21</v>
      </c>
      <c r="G94" s="295" t="s">
        <v>17</v>
      </c>
      <c r="H94" s="11" t="s">
        <v>268</v>
      </c>
      <c r="I94" s="294" t="s">
        <v>267</v>
      </c>
      <c r="L94" s="20" t="s">
        <v>13</v>
      </c>
      <c r="M94" s="13" t="s">
        <v>26</v>
      </c>
      <c r="N94" s="12" t="s">
        <v>3</v>
      </c>
      <c r="O94" s="11" t="s">
        <v>21</v>
      </c>
      <c r="P94" s="295" t="s">
        <v>17</v>
      </c>
      <c r="Q94" s="11" t="s">
        <v>268</v>
      </c>
      <c r="R94" s="294" t="s">
        <v>267</v>
      </c>
      <c r="S94" s="30"/>
      <c r="T94" s="53"/>
      <c r="U94" s="20" t="s">
        <v>13</v>
      </c>
      <c r="V94" s="13" t="s">
        <v>26</v>
      </c>
      <c r="W94" s="65" t="s">
        <v>3</v>
      </c>
      <c r="X94" s="64" t="s">
        <v>21</v>
      </c>
      <c r="Y94" s="295" t="s">
        <v>17</v>
      </c>
      <c r="Z94" s="64" t="s">
        <v>268</v>
      </c>
      <c r="AA94" s="294" t="s">
        <v>267</v>
      </c>
      <c r="AC94" s="30"/>
      <c r="AD94" s="32"/>
      <c r="AE94" s="307" t="s">
        <v>40</v>
      </c>
      <c r="AF94" s="65" t="s">
        <v>3</v>
      </c>
      <c r="AG94" s="64" t="s">
        <v>21</v>
      </c>
      <c r="AH94" s="300" t="s">
        <v>17</v>
      </c>
      <c r="AI94" s="64" t="s">
        <v>268</v>
      </c>
      <c r="AJ94" s="293" t="s">
        <v>267</v>
      </c>
      <c r="AL94" s="68"/>
      <c r="AM94" s="70"/>
      <c r="AN94" s="67" t="s">
        <v>40</v>
      </c>
      <c r="AO94" s="18" t="s">
        <v>3</v>
      </c>
      <c r="AP94" s="61" t="s">
        <v>21</v>
      </c>
      <c r="AQ94" s="295" t="s">
        <v>17</v>
      </c>
      <c r="AR94" s="61" t="s">
        <v>268</v>
      </c>
      <c r="AS94" s="294" t="s">
        <v>267</v>
      </c>
    </row>
    <row r="95" spans="1:73" x14ac:dyDescent="0.3">
      <c r="B95" s="42" t="s">
        <v>54</v>
      </c>
      <c r="C95" s="349" t="s">
        <v>38</v>
      </c>
      <c r="D95" s="62" t="s">
        <v>3</v>
      </c>
      <c r="E95" s="61" t="s">
        <v>3</v>
      </c>
      <c r="F95" s="61" t="s">
        <v>21</v>
      </c>
      <c r="G95" s="299" t="s">
        <v>17</v>
      </c>
      <c r="H95" s="61" t="s">
        <v>268</v>
      </c>
      <c r="I95" s="292" t="s">
        <v>267</v>
      </c>
      <c r="J95" s="53"/>
      <c r="K95" s="42" t="s">
        <v>54</v>
      </c>
      <c r="L95" s="342" t="s">
        <v>74</v>
      </c>
      <c r="M95" s="65" t="s">
        <v>3</v>
      </c>
      <c r="N95" s="18" t="s">
        <v>3</v>
      </c>
      <c r="O95" s="61" t="s">
        <v>21</v>
      </c>
      <c r="P95" s="299" t="s">
        <v>17</v>
      </c>
      <c r="Q95" s="61" t="s">
        <v>268</v>
      </c>
      <c r="R95" s="292" t="s">
        <v>267</v>
      </c>
      <c r="S95" s="53"/>
      <c r="T95" s="42" t="s">
        <v>54</v>
      </c>
      <c r="U95" s="342" t="s">
        <v>207</v>
      </c>
      <c r="V95" s="65" t="s">
        <v>3</v>
      </c>
      <c r="W95" s="18" t="s">
        <v>3</v>
      </c>
      <c r="X95" s="61" t="s">
        <v>21</v>
      </c>
      <c r="Y95" s="299" t="s">
        <v>17</v>
      </c>
      <c r="Z95" s="61" t="s">
        <v>268</v>
      </c>
      <c r="AA95" s="292" t="s">
        <v>267</v>
      </c>
      <c r="AB95" s="53"/>
      <c r="AC95" s="42" t="s">
        <v>55</v>
      </c>
      <c r="AD95" s="362" t="s">
        <v>31</v>
      </c>
      <c r="AE95" s="62" t="s">
        <v>3</v>
      </c>
      <c r="AF95" s="18" t="s">
        <v>3</v>
      </c>
      <c r="AG95" s="61" t="s">
        <v>21</v>
      </c>
      <c r="AH95" s="299" t="s">
        <v>17</v>
      </c>
      <c r="AI95" s="61" t="s">
        <v>268</v>
      </c>
      <c r="AJ95" s="292" t="s">
        <v>267</v>
      </c>
      <c r="AL95" s="42" t="s">
        <v>55</v>
      </c>
      <c r="AM95" s="362" t="s">
        <v>73</v>
      </c>
      <c r="AN95" s="62" t="s">
        <v>3</v>
      </c>
      <c r="AO95" s="18" t="s">
        <v>3</v>
      </c>
      <c r="AP95" s="61" t="s">
        <v>21</v>
      </c>
      <c r="AQ95" s="299" t="s">
        <v>17</v>
      </c>
      <c r="AR95" s="61" t="s">
        <v>268</v>
      </c>
      <c r="AS95" s="292" t="s">
        <v>267</v>
      </c>
    </row>
    <row r="96" spans="1:73" x14ac:dyDescent="0.3">
      <c r="C96" s="350"/>
      <c r="D96" s="59" t="s">
        <v>22</v>
      </c>
      <c r="E96" s="281" t="s">
        <v>17</v>
      </c>
      <c r="F96" s="281" t="s">
        <v>17</v>
      </c>
      <c r="G96" s="295" t="s">
        <v>17</v>
      </c>
      <c r="H96" s="281" t="s">
        <v>268</v>
      </c>
      <c r="I96" s="294" t="s">
        <v>267</v>
      </c>
      <c r="J96" s="53"/>
      <c r="L96" s="343"/>
      <c r="M96" s="51" t="s">
        <v>9</v>
      </c>
      <c r="N96" s="17" t="s">
        <v>17</v>
      </c>
      <c r="O96" s="281" t="s">
        <v>17</v>
      </c>
      <c r="P96" s="295" t="s">
        <v>17</v>
      </c>
      <c r="Q96" s="281" t="s">
        <v>268</v>
      </c>
      <c r="R96" s="294" t="s">
        <v>267</v>
      </c>
      <c r="S96" s="53"/>
      <c r="T96" s="53"/>
      <c r="U96" s="343"/>
      <c r="V96" s="51" t="s">
        <v>212</v>
      </c>
      <c r="W96" s="17" t="s">
        <v>17</v>
      </c>
      <c r="X96" s="281" t="s">
        <v>17</v>
      </c>
      <c r="Y96" s="295" t="s">
        <v>17</v>
      </c>
      <c r="Z96" s="281" t="s">
        <v>268</v>
      </c>
      <c r="AA96" s="294" t="s">
        <v>267</v>
      </c>
      <c r="AB96" s="53"/>
      <c r="AD96" s="362"/>
      <c r="AE96" s="59" t="s">
        <v>21</v>
      </c>
      <c r="AF96" s="17" t="s">
        <v>21</v>
      </c>
      <c r="AG96" s="281" t="s">
        <v>21</v>
      </c>
      <c r="AH96" s="295" t="s">
        <v>17</v>
      </c>
      <c r="AI96" s="281" t="s">
        <v>268</v>
      </c>
      <c r="AJ96" s="294" t="s">
        <v>267</v>
      </c>
      <c r="AL96" s="53"/>
      <c r="AM96" s="362"/>
      <c r="AN96" s="59" t="s">
        <v>21</v>
      </c>
      <c r="AO96" s="17" t="s">
        <v>21</v>
      </c>
      <c r="AP96" s="281" t="s">
        <v>21</v>
      </c>
      <c r="AQ96" s="295" t="s">
        <v>17</v>
      </c>
      <c r="AR96" s="281" t="s">
        <v>268</v>
      </c>
      <c r="AS96" s="294" t="s">
        <v>267</v>
      </c>
    </row>
    <row r="97" spans="1:72" x14ac:dyDescent="0.3">
      <c r="C97" s="350"/>
      <c r="D97" s="59" t="s">
        <v>20</v>
      </c>
      <c r="E97" s="281" t="s">
        <v>268</v>
      </c>
      <c r="F97" s="295" t="s">
        <v>268</v>
      </c>
      <c r="G97" s="281" t="s">
        <v>268</v>
      </c>
      <c r="H97" s="281" t="s">
        <v>268</v>
      </c>
      <c r="I97" s="294" t="s">
        <v>267</v>
      </c>
      <c r="J97" s="53"/>
      <c r="L97" s="343"/>
      <c r="M97" s="51" t="s">
        <v>8</v>
      </c>
      <c r="N97" s="302" t="s">
        <v>268</v>
      </c>
      <c r="O97" s="295" t="s">
        <v>268</v>
      </c>
      <c r="P97" s="295" t="s">
        <v>268</v>
      </c>
      <c r="Q97" s="281" t="s">
        <v>268</v>
      </c>
      <c r="R97" s="294" t="s">
        <v>267</v>
      </c>
      <c r="S97" s="53"/>
      <c r="T97" s="53"/>
      <c r="U97" s="343"/>
      <c r="V97" s="51" t="s">
        <v>213</v>
      </c>
      <c r="W97" s="302" t="s">
        <v>268</v>
      </c>
      <c r="X97" s="295" t="s">
        <v>268</v>
      </c>
      <c r="Y97" s="295" t="s">
        <v>268</v>
      </c>
      <c r="Z97" s="281" t="s">
        <v>268</v>
      </c>
      <c r="AA97" s="294" t="s">
        <v>267</v>
      </c>
      <c r="AB97" s="53"/>
      <c r="AD97" s="362"/>
      <c r="AE97" s="308" t="s">
        <v>17</v>
      </c>
      <c r="AF97" s="302" t="s">
        <v>17</v>
      </c>
      <c r="AG97" s="295" t="s">
        <v>17</v>
      </c>
      <c r="AH97" s="295" t="s">
        <v>17</v>
      </c>
      <c r="AI97" s="281" t="s">
        <v>268</v>
      </c>
      <c r="AJ97" s="294" t="s">
        <v>267</v>
      </c>
      <c r="AL97" s="53"/>
      <c r="AM97" s="362"/>
      <c r="AN97" s="308" t="s">
        <v>17</v>
      </c>
      <c r="AO97" s="302" t="s">
        <v>17</v>
      </c>
      <c r="AP97" s="295" t="s">
        <v>17</v>
      </c>
      <c r="AQ97" s="295" t="s">
        <v>17</v>
      </c>
      <c r="AR97" s="281" t="s">
        <v>268</v>
      </c>
      <c r="AS97" s="294" t="s">
        <v>267</v>
      </c>
    </row>
    <row r="98" spans="1:72" x14ac:dyDescent="0.3">
      <c r="C98" s="350"/>
      <c r="D98" s="59" t="s">
        <v>18</v>
      </c>
      <c r="E98" s="295" t="s">
        <v>267</v>
      </c>
      <c r="F98" s="295" t="s">
        <v>267</v>
      </c>
      <c r="G98" s="281" t="s">
        <v>267</v>
      </c>
      <c r="H98" s="281" t="s">
        <v>267</v>
      </c>
      <c r="I98" s="294" t="s">
        <v>267</v>
      </c>
      <c r="J98" s="53"/>
      <c r="L98" s="343"/>
      <c r="M98" s="51" t="s">
        <v>7</v>
      </c>
      <c r="N98" s="302" t="s">
        <v>267</v>
      </c>
      <c r="O98" s="295" t="s">
        <v>267</v>
      </c>
      <c r="P98" s="281" t="s">
        <v>267</v>
      </c>
      <c r="Q98" s="281" t="s">
        <v>267</v>
      </c>
      <c r="R98" s="294" t="s">
        <v>267</v>
      </c>
      <c r="S98" s="53"/>
      <c r="T98" s="53"/>
      <c r="U98" s="343"/>
      <c r="V98" s="51" t="s">
        <v>214</v>
      </c>
      <c r="W98" s="302" t="s">
        <v>267</v>
      </c>
      <c r="X98" s="295" t="s">
        <v>267</v>
      </c>
      <c r="Y98" s="281" t="s">
        <v>267</v>
      </c>
      <c r="Z98" s="281" t="s">
        <v>267</v>
      </c>
      <c r="AA98" s="294" t="s">
        <v>267</v>
      </c>
      <c r="AB98" s="53"/>
      <c r="AD98" s="362"/>
      <c r="AE98" s="59" t="s">
        <v>268</v>
      </c>
      <c r="AF98" s="17" t="s">
        <v>268</v>
      </c>
      <c r="AG98" s="281" t="s">
        <v>268</v>
      </c>
      <c r="AH98" s="281" t="s">
        <v>268</v>
      </c>
      <c r="AI98" s="281" t="s">
        <v>268</v>
      </c>
      <c r="AJ98" s="294" t="s">
        <v>267</v>
      </c>
      <c r="AL98" s="53"/>
      <c r="AM98" s="362"/>
      <c r="AN98" s="59" t="s">
        <v>268</v>
      </c>
      <c r="AO98" s="17" t="s">
        <v>268</v>
      </c>
      <c r="AP98" s="281" t="s">
        <v>268</v>
      </c>
      <c r="AQ98" s="281" t="s">
        <v>268</v>
      </c>
      <c r="AR98" s="295" t="s">
        <v>268</v>
      </c>
      <c r="AS98" s="294" t="s">
        <v>267</v>
      </c>
    </row>
    <row r="99" spans="1:72" x14ac:dyDescent="0.3">
      <c r="C99" s="351"/>
      <c r="D99" s="304" t="s">
        <v>270</v>
      </c>
      <c r="E99" s="297" t="s">
        <v>267</v>
      </c>
      <c r="F99" s="297" t="s">
        <v>267</v>
      </c>
      <c r="G99" s="297" t="s">
        <v>267</v>
      </c>
      <c r="H99" s="297" t="s">
        <v>267</v>
      </c>
      <c r="I99" s="298" t="s">
        <v>267</v>
      </c>
      <c r="J99" s="53"/>
      <c r="L99" s="344"/>
      <c r="M99" s="52" t="s">
        <v>271</v>
      </c>
      <c r="N99" s="296" t="s">
        <v>267</v>
      </c>
      <c r="O99" s="297" t="s">
        <v>267</v>
      </c>
      <c r="P99" s="297" t="s">
        <v>267</v>
      </c>
      <c r="Q99" s="297" t="s">
        <v>267</v>
      </c>
      <c r="R99" s="298" t="s">
        <v>267</v>
      </c>
      <c r="S99" s="53"/>
      <c r="T99" s="53"/>
      <c r="U99" s="344"/>
      <c r="V99" s="52" t="s">
        <v>215</v>
      </c>
      <c r="W99" s="296" t="s">
        <v>267</v>
      </c>
      <c r="X99" s="297" t="s">
        <v>267</v>
      </c>
      <c r="Y99" s="297" t="s">
        <v>267</v>
      </c>
      <c r="Z99" s="297" t="s">
        <v>267</v>
      </c>
      <c r="AA99" s="298" t="s">
        <v>267</v>
      </c>
      <c r="AB99" s="53"/>
      <c r="AD99" s="363"/>
      <c r="AE99" s="304" t="s">
        <v>267</v>
      </c>
      <c r="AF99" s="296" t="s">
        <v>267</v>
      </c>
      <c r="AG99" s="297" t="s">
        <v>267</v>
      </c>
      <c r="AH99" s="297" t="s">
        <v>267</v>
      </c>
      <c r="AI99" s="297" t="s">
        <v>267</v>
      </c>
      <c r="AJ99" s="298" t="s">
        <v>267</v>
      </c>
      <c r="AL99" s="53"/>
      <c r="AM99" s="363"/>
      <c r="AN99" s="304" t="s">
        <v>267</v>
      </c>
      <c r="AO99" s="296" t="s">
        <v>267</v>
      </c>
      <c r="AP99" s="297" t="s">
        <v>267</v>
      </c>
      <c r="AQ99" s="297" t="s">
        <v>267</v>
      </c>
      <c r="AR99" s="297" t="s">
        <v>267</v>
      </c>
      <c r="AS99" s="298" t="s">
        <v>267</v>
      </c>
    </row>
    <row r="102" spans="1:72" s="288" customFormat="1" x14ac:dyDescent="0.3">
      <c r="A102" s="347" t="s">
        <v>92</v>
      </c>
      <c r="B102" s="347"/>
    </row>
    <row r="103" spans="1:72" s="53" customFormat="1" x14ac:dyDescent="0.3">
      <c r="A103" s="347"/>
      <c r="B103" s="347"/>
      <c r="U103" s="33"/>
      <c r="V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</row>
    <row r="104" spans="1:72" x14ac:dyDescent="0.3">
      <c r="B104" s="53"/>
      <c r="C104" s="53"/>
      <c r="D104" s="53"/>
      <c r="E104" s="43" t="s">
        <v>53</v>
      </c>
      <c r="F104" s="36"/>
      <c r="G104" s="36"/>
      <c r="H104" s="36"/>
      <c r="I104" s="43" t="s">
        <v>208</v>
      </c>
      <c r="K104" s="53"/>
      <c r="L104" s="53"/>
      <c r="M104" s="53"/>
      <c r="N104" s="43" t="s">
        <v>53</v>
      </c>
      <c r="O104" s="36"/>
      <c r="P104" s="36"/>
      <c r="Q104" s="36"/>
      <c r="R104" s="43" t="s">
        <v>209</v>
      </c>
      <c r="T104" s="53"/>
      <c r="U104" s="69"/>
      <c r="V104" s="69"/>
      <c r="W104" s="72" t="s">
        <v>55</v>
      </c>
      <c r="X104" s="73"/>
      <c r="Y104" s="73"/>
      <c r="Z104" s="73"/>
      <c r="AA104" s="72" t="s">
        <v>33</v>
      </c>
    </row>
    <row r="105" spans="1:72" ht="15.6" x14ac:dyDescent="0.3">
      <c r="B105" s="53"/>
      <c r="C105" s="14"/>
      <c r="D105" s="66" t="s">
        <v>191</v>
      </c>
      <c r="E105" s="352" t="s">
        <v>46</v>
      </c>
      <c r="F105" s="353"/>
      <c r="G105" s="353"/>
      <c r="H105" s="353"/>
      <c r="I105" s="354"/>
      <c r="K105" s="53"/>
      <c r="L105" s="14"/>
      <c r="M105" s="66" t="s">
        <v>191</v>
      </c>
      <c r="N105" s="352" t="s">
        <v>46</v>
      </c>
      <c r="O105" s="353"/>
      <c r="P105" s="353"/>
      <c r="Q105" s="353"/>
      <c r="R105" s="354"/>
      <c r="T105" s="53"/>
      <c r="U105" s="69"/>
      <c r="V105" s="66" t="s">
        <v>191</v>
      </c>
      <c r="W105" s="352" t="s">
        <v>209</v>
      </c>
      <c r="X105" s="353"/>
      <c r="Y105" s="353"/>
      <c r="Z105" s="353"/>
      <c r="AA105" s="354"/>
    </row>
    <row r="106" spans="1:72" x14ac:dyDescent="0.3">
      <c r="B106" s="53"/>
      <c r="C106" s="20" t="s">
        <v>91</v>
      </c>
      <c r="D106" s="13" t="s">
        <v>26</v>
      </c>
      <c r="E106" s="65" t="s">
        <v>3</v>
      </c>
      <c r="F106" s="64" t="s">
        <v>4</v>
      </c>
      <c r="G106" s="64" t="s">
        <v>2</v>
      </c>
      <c r="H106" s="64" t="s">
        <v>1</v>
      </c>
      <c r="I106" s="63" t="s">
        <v>269</v>
      </c>
      <c r="K106" s="53"/>
      <c r="L106" s="20" t="s">
        <v>13</v>
      </c>
      <c r="M106" s="13" t="s">
        <v>26</v>
      </c>
      <c r="N106" s="65" t="s">
        <v>3</v>
      </c>
      <c r="O106" s="64" t="s">
        <v>4</v>
      </c>
      <c r="P106" s="64" t="s">
        <v>2</v>
      </c>
      <c r="Q106" s="64" t="s">
        <v>1</v>
      </c>
      <c r="R106" s="63" t="s">
        <v>269</v>
      </c>
      <c r="T106" s="53"/>
      <c r="U106" s="70"/>
      <c r="V106" s="67" t="s">
        <v>210</v>
      </c>
      <c r="W106" s="65" t="s">
        <v>3</v>
      </c>
      <c r="X106" s="64" t="s">
        <v>4</v>
      </c>
      <c r="Y106" s="64" t="s">
        <v>2</v>
      </c>
      <c r="Z106" s="64" t="s">
        <v>1</v>
      </c>
      <c r="AA106" s="63" t="s">
        <v>269</v>
      </c>
    </row>
    <row r="107" spans="1:72" x14ac:dyDescent="0.3">
      <c r="B107" s="42" t="s">
        <v>54</v>
      </c>
      <c r="C107" s="349" t="s">
        <v>33</v>
      </c>
      <c r="D107" s="62" t="s">
        <v>3</v>
      </c>
      <c r="E107" s="61" t="s">
        <v>3</v>
      </c>
      <c r="F107" s="61" t="s">
        <v>4</v>
      </c>
      <c r="G107" s="61" t="s">
        <v>2</v>
      </c>
      <c r="H107" s="61" t="s">
        <v>1</v>
      </c>
      <c r="I107" s="60" t="s">
        <v>269</v>
      </c>
      <c r="J107" s="53"/>
      <c r="K107" s="42" t="s">
        <v>54</v>
      </c>
      <c r="L107" s="342" t="s">
        <v>207</v>
      </c>
      <c r="M107" s="62" t="s">
        <v>3</v>
      </c>
      <c r="N107" s="61" t="s">
        <v>3</v>
      </c>
      <c r="O107" s="61" t="s">
        <v>4</v>
      </c>
      <c r="P107" s="61" t="s">
        <v>2</v>
      </c>
      <c r="Q107" s="61" t="s">
        <v>1</v>
      </c>
      <c r="R107" s="60" t="s">
        <v>269</v>
      </c>
      <c r="S107" s="53"/>
      <c r="T107" s="72" t="s">
        <v>55</v>
      </c>
      <c r="U107" s="349" t="s">
        <v>208</v>
      </c>
      <c r="V107" s="62" t="s">
        <v>3</v>
      </c>
      <c r="W107" s="61" t="s">
        <v>3</v>
      </c>
      <c r="X107" s="61" t="s">
        <v>4</v>
      </c>
      <c r="Y107" s="61" t="s">
        <v>2</v>
      </c>
      <c r="Z107" s="61" t="s">
        <v>1</v>
      </c>
      <c r="AA107" s="60" t="s">
        <v>269</v>
      </c>
    </row>
    <row r="108" spans="1:72" x14ac:dyDescent="0.3">
      <c r="B108" s="53"/>
      <c r="C108" s="350"/>
      <c r="D108" s="59" t="s">
        <v>4</v>
      </c>
      <c r="E108" s="58" t="s">
        <v>2</v>
      </c>
      <c r="F108" s="58" t="s">
        <v>2</v>
      </c>
      <c r="G108" s="58" t="s">
        <v>2</v>
      </c>
      <c r="H108" s="58" t="s">
        <v>1</v>
      </c>
      <c r="I108" s="57" t="s">
        <v>269</v>
      </c>
      <c r="J108" s="53"/>
      <c r="K108" s="53"/>
      <c r="L108" s="343"/>
      <c r="M108" s="59" t="s">
        <v>212</v>
      </c>
      <c r="N108" s="58" t="s">
        <v>2</v>
      </c>
      <c r="O108" s="58" t="s">
        <v>2</v>
      </c>
      <c r="P108" s="58" t="s">
        <v>2</v>
      </c>
      <c r="Q108" s="58" t="s">
        <v>1</v>
      </c>
      <c r="R108" s="57" t="s">
        <v>269</v>
      </c>
      <c r="S108" s="53"/>
      <c r="T108" s="53"/>
      <c r="U108" s="350"/>
      <c r="V108" s="59" t="s">
        <v>4</v>
      </c>
      <c r="W108" s="58" t="s">
        <v>4</v>
      </c>
      <c r="X108" s="58" t="s">
        <v>4</v>
      </c>
      <c r="Y108" s="58" t="s">
        <v>2</v>
      </c>
      <c r="Z108" s="58" t="s">
        <v>1</v>
      </c>
      <c r="AA108" s="57" t="s">
        <v>269</v>
      </c>
    </row>
    <row r="109" spans="1:72" x14ac:dyDescent="0.3">
      <c r="B109" s="53"/>
      <c r="C109" s="350"/>
      <c r="D109" s="59" t="s">
        <v>2</v>
      </c>
      <c r="E109" s="58" t="s">
        <v>1</v>
      </c>
      <c r="F109" s="58" t="s">
        <v>1</v>
      </c>
      <c r="G109" s="58" t="s">
        <v>1</v>
      </c>
      <c r="H109" s="58" t="s">
        <v>1</v>
      </c>
      <c r="I109" s="57" t="s">
        <v>269</v>
      </c>
      <c r="J109" s="53"/>
      <c r="K109" s="53"/>
      <c r="L109" s="343"/>
      <c r="M109" s="59" t="s">
        <v>213</v>
      </c>
      <c r="N109" s="58" t="s">
        <v>1</v>
      </c>
      <c r="O109" s="58" t="s">
        <v>1</v>
      </c>
      <c r="P109" s="58" t="s">
        <v>1</v>
      </c>
      <c r="Q109" s="58" t="s">
        <v>1</v>
      </c>
      <c r="R109" s="57" t="s">
        <v>269</v>
      </c>
      <c r="S109" s="53"/>
      <c r="T109" s="53"/>
      <c r="U109" s="350"/>
      <c r="V109" s="59" t="s">
        <v>2</v>
      </c>
      <c r="W109" s="58" t="s">
        <v>2</v>
      </c>
      <c r="X109" s="58" t="s">
        <v>2</v>
      </c>
      <c r="Y109" s="58" t="s">
        <v>2</v>
      </c>
      <c r="Z109" s="58" t="s">
        <v>1</v>
      </c>
      <c r="AA109" s="57" t="s">
        <v>269</v>
      </c>
    </row>
    <row r="110" spans="1:72" x14ac:dyDescent="0.3">
      <c r="B110" s="53"/>
      <c r="C110" s="350"/>
      <c r="D110" s="59" t="s">
        <v>1</v>
      </c>
      <c r="E110" s="58" t="s">
        <v>269</v>
      </c>
      <c r="F110" s="58" t="s">
        <v>269</v>
      </c>
      <c r="G110" s="58" t="s">
        <v>269</v>
      </c>
      <c r="H110" s="58" t="s">
        <v>269</v>
      </c>
      <c r="I110" s="57" t="s">
        <v>269</v>
      </c>
      <c r="J110" s="53"/>
      <c r="K110" s="53"/>
      <c r="L110" s="343"/>
      <c r="M110" s="59" t="s">
        <v>214</v>
      </c>
      <c r="N110" s="58" t="s">
        <v>269</v>
      </c>
      <c r="O110" s="58" t="s">
        <v>269</v>
      </c>
      <c r="P110" s="58" t="s">
        <v>269</v>
      </c>
      <c r="Q110" s="58" t="s">
        <v>269</v>
      </c>
      <c r="R110" s="57" t="s">
        <v>269</v>
      </c>
      <c r="S110" s="53"/>
      <c r="T110" s="53"/>
      <c r="U110" s="350"/>
      <c r="V110" s="59" t="s">
        <v>1</v>
      </c>
      <c r="W110" s="58" t="s">
        <v>1</v>
      </c>
      <c r="X110" s="58" t="s">
        <v>1</v>
      </c>
      <c r="Y110" s="58" t="s">
        <v>1</v>
      </c>
      <c r="Z110" s="58" t="s">
        <v>1</v>
      </c>
      <c r="AA110" s="57" t="s">
        <v>269</v>
      </c>
    </row>
    <row r="111" spans="1:72" x14ac:dyDescent="0.3">
      <c r="B111" s="53"/>
      <c r="C111" s="351"/>
      <c r="D111" s="56" t="s">
        <v>269</v>
      </c>
      <c r="E111" s="55" t="s">
        <v>269</v>
      </c>
      <c r="F111" s="55" t="s">
        <v>269</v>
      </c>
      <c r="G111" s="55" t="s">
        <v>269</v>
      </c>
      <c r="H111" s="55" t="s">
        <v>269</v>
      </c>
      <c r="I111" s="54" t="s">
        <v>269</v>
      </c>
      <c r="J111" s="53"/>
      <c r="K111" s="53"/>
      <c r="L111" s="344"/>
      <c r="M111" s="56" t="s">
        <v>215</v>
      </c>
      <c r="N111" s="55" t="s">
        <v>269</v>
      </c>
      <c r="O111" s="55" t="s">
        <v>269</v>
      </c>
      <c r="P111" s="55" t="s">
        <v>269</v>
      </c>
      <c r="Q111" s="55" t="s">
        <v>269</v>
      </c>
      <c r="R111" s="54" t="s">
        <v>269</v>
      </c>
      <c r="S111" s="53"/>
      <c r="T111" s="53"/>
      <c r="U111" s="351"/>
      <c r="V111" s="56" t="s">
        <v>269</v>
      </c>
      <c r="W111" s="55" t="s">
        <v>269</v>
      </c>
      <c r="X111" s="55" t="s">
        <v>269</v>
      </c>
      <c r="Y111" s="55" t="s">
        <v>269</v>
      </c>
      <c r="Z111" s="55" t="s">
        <v>269</v>
      </c>
      <c r="AA111" s="54" t="s">
        <v>269</v>
      </c>
    </row>
    <row r="113" spans="1:108" s="53" customFormat="1" x14ac:dyDescent="0.3"/>
    <row r="114" spans="1:108" s="53" customFormat="1" x14ac:dyDescent="0.3"/>
    <row r="115" spans="1:108" s="288" customFormat="1" x14ac:dyDescent="0.3">
      <c r="A115" s="347" t="s">
        <v>13</v>
      </c>
      <c r="B115" s="347"/>
    </row>
    <row r="116" spans="1:108" s="53" customFormat="1" x14ac:dyDescent="0.3">
      <c r="A116" s="347"/>
      <c r="B116" s="347"/>
      <c r="U116" s="33"/>
      <c r="V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</row>
    <row r="117" spans="1:108" s="53" customFormat="1" ht="14.4" customHeight="1" x14ac:dyDescent="0.3">
      <c r="A117" s="311"/>
      <c r="B117" s="311"/>
      <c r="C117" s="14"/>
      <c r="D117" s="14"/>
      <c r="E117" s="47" t="s">
        <v>54</v>
      </c>
      <c r="F117" s="73"/>
      <c r="G117" s="73"/>
      <c r="H117" s="73"/>
      <c r="I117" s="43" t="s">
        <v>233</v>
      </c>
      <c r="J117" s="14"/>
      <c r="L117" s="14"/>
      <c r="M117" s="14"/>
      <c r="N117" s="47" t="s">
        <v>54</v>
      </c>
      <c r="O117" s="73"/>
      <c r="P117" s="73"/>
      <c r="Q117" s="73"/>
      <c r="R117" s="43" t="s">
        <v>234</v>
      </c>
      <c r="U117" s="14"/>
      <c r="V117" s="14"/>
      <c r="W117" s="47" t="s">
        <v>54</v>
      </c>
      <c r="X117" s="73"/>
      <c r="Y117" s="73"/>
      <c r="Z117" s="73"/>
      <c r="AA117" s="43" t="s">
        <v>235</v>
      </c>
      <c r="AD117" s="14"/>
      <c r="AE117" s="14"/>
      <c r="AF117" s="47" t="s">
        <v>54</v>
      </c>
      <c r="AG117" s="73"/>
      <c r="AH117" s="73"/>
      <c r="AI117" s="73"/>
      <c r="AJ117" s="43" t="s">
        <v>236</v>
      </c>
      <c r="AM117" s="14"/>
      <c r="AN117" s="14"/>
      <c r="AO117" s="47" t="s">
        <v>54</v>
      </c>
      <c r="AP117" s="73"/>
      <c r="AQ117" s="73"/>
      <c r="AR117" s="73"/>
      <c r="AS117" s="43" t="s">
        <v>237</v>
      </c>
      <c r="AV117" s="14"/>
      <c r="AW117" s="14"/>
      <c r="AX117" s="47" t="s">
        <v>54</v>
      </c>
      <c r="AY117" s="73"/>
      <c r="AZ117" s="73"/>
      <c r="BA117" s="73"/>
      <c r="BB117" s="43" t="s">
        <v>238</v>
      </c>
      <c r="BE117" s="14"/>
      <c r="BF117" s="14"/>
      <c r="BG117" s="47" t="s">
        <v>55</v>
      </c>
      <c r="BH117" s="73"/>
      <c r="BI117" s="73"/>
      <c r="BJ117" s="73"/>
      <c r="BK117" s="43" t="s">
        <v>241</v>
      </c>
      <c r="BN117" s="14"/>
      <c r="BO117" s="14"/>
      <c r="BP117" s="47" t="s">
        <v>55</v>
      </c>
      <c r="BQ117" s="73"/>
      <c r="BR117" s="73"/>
      <c r="BS117" s="73"/>
      <c r="BT117" s="43" t="s">
        <v>240</v>
      </c>
      <c r="BW117" s="14"/>
      <c r="BX117" s="14"/>
      <c r="BY117" s="47" t="s">
        <v>55</v>
      </c>
      <c r="BZ117" s="73"/>
      <c r="CA117" s="73"/>
      <c r="CB117" s="73"/>
      <c r="CC117" s="43" t="s">
        <v>239</v>
      </c>
      <c r="CF117" s="14"/>
      <c r="CG117" s="14"/>
      <c r="CH117" s="47" t="s">
        <v>55</v>
      </c>
      <c r="CI117" s="73"/>
      <c r="CJ117" s="73"/>
      <c r="CK117" s="73"/>
      <c r="CL117" s="43" t="s">
        <v>242</v>
      </c>
      <c r="CO117" s="14"/>
      <c r="CP117" s="14"/>
      <c r="CQ117" s="47" t="s">
        <v>54</v>
      </c>
      <c r="CR117" s="73"/>
      <c r="CS117" s="73"/>
      <c r="CT117" s="73"/>
      <c r="CU117" s="43" t="s">
        <v>244</v>
      </c>
      <c r="CX117" s="14"/>
      <c r="CY117" s="14"/>
      <c r="CZ117" s="47" t="s">
        <v>55</v>
      </c>
      <c r="DA117" s="73"/>
      <c r="DB117" s="73"/>
      <c r="DC117" s="73"/>
      <c r="DD117" s="43" t="s">
        <v>74</v>
      </c>
    </row>
    <row r="118" spans="1:108" s="53" customFormat="1" ht="15.6" x14ac:dyDescent="0.3">
      <c r="A118" s="312" t="s">
        <v>274</v>
      </c>
      <c r="C118" s="14"/>
      <c r="D118" s="66" t="s">
        <v>36</v>
      </c>
      <c r="E118" s="360" t="s">
        <v>10</v>
      </c>
      <c r="F118" s="340"/>
      <c r="G118" s="340"/>
      <c r="H118" s="340"/>
      <c r="I118" s="341"/>
      <c r="J118" s="14"/>
      <c r="L118" s="14"/>
      <c r="M118" s="66" t="s">
        <v>36</v>
      </c>
      <c r="N118" s="360" t="s">
        <v>77</v>
      </c>
      <c r="O118" s="340"/>
      <c r="P118" s="340"/>
      <c r="Q118" s="340"/>
      <c r="R118" s="341"/>
      <c r="U118" s="14"/>
      <c r="V118" s="66" t="s">
        <v>36</v>
      </c>
      <c r="W118" s="360" t="s">
        <v>80</v>
      </c>
      <c r="X118" s="340"/>
      <c r="Y118" s="340"/>
      <c r="Z118" s="340"/>
      <c r="AA118" s="341"/>
      <c r="AD118" s="14"/>
      <c r="AE118" s="66" t="s">
        <v>36</v>
      </c>
      <c r="AF118" s="360" t="s">
        <v>229</v>
      </c>
      <c r="AG118" s="340"/>
      <c r="AH118" s="340"/>
      <c r="AI118" s="340"/>
      <c r="AJ118" s="341"/>
      <c r="AM118" s="14"/>
      <c r="AN118" s="66" t="s">
        <v>36</v>
      </c>
      <c r="AO118" s="360" t="s">
        <v>231</v>
      </c>
      <c r="AP118" s="340"/>
      <c r="AQ118" s="340"/>
      <c r="AR118" s="340"/>
      <c r="AS118" s="341"/>
      <c r="AV118" s="14"/>
      <c r="AW118" s="66" t="s">
        <v>36</v>
      </c>
      <c r="AX118" s="360" t="s">
        <v>233</v>
      </c>
      <c r="AY118" s="340"/>
      <c r="AZ118" s="340"/>
      <c r="BA118" s="340"/>
      <c r="BB118" s="341"/>
      <c r="BE118" s="14"/>
      <c r="BF118" s="66" t="s">
        <v>36</v>
      </c>
      <c r="BG118" s="360" t="s">
        <v>234</v>
      </c>
      <c r="BH118" s="340"/>
      <c r="BI118" s="340"/>
      <c r="BJ118" s="340"/>
      <c r="BK118" s="341"/>
      <c r="BN118" s="14"/>
      <c r="BO118" s="66" t="s">
        <v>36</v>
      </c>
      <c r="BP118" s="360" t="s">
        <v>236</v>
      </c>
      <c r="BQ118" s="340"/>
      <c r="BR118" s="340"/>
      <c r="BS118" s="340"/>
      <c r="BT118" s="341"/>
      <c r="BW118" s="14"/>
      <c r="BX118" s="66" t="s">
        <v>36</v>
      </c>
      <c r="BY118" s="355" t="s">
        <v>238</v>
      </c>
      <c r="BZ118" s="356"/>
      <c r="CA118" s="356"/>
      <c r="CB118" s="356"/>
      <c r="CC118" s="357"/>
      <c r="CF118" s="14"/>
      <c r="CG118" s="66" t="s">
        <v>36</v>
      </c>
      <c r="CH118" s="355" t="s">
        <v>240</v>
      </c>
      <c r="CI118" s="356"/>
      <c r="CJ118" s="356"/>
      <c r="CK118" s="356"/>
      <c r="CL118" s="357"/>
      <c r="CO118" s="14"/>
      <c r="CP118" s="66" t="s">
        <v>36</v>
      </c>
      <c r="CQ118" s="355" t="s">
        <v>243</v>
      </c>
      <c r="CR118" s="356"/>
      <c r="CS118" s="356"/>
      <c r="CT118" s="356"/>
      <c r="CU118" s="357"/>
      <c r="CX118" s="14"/>
      <c r="CY118" s="66" t="s">
        <v>36</v>
      </c>
      <c r="CZ118" s="355" t="s">
        <v>244</v>
      </c>
      <c r="DA118" s="356"/>
      <c r="DB118" s="356"/>
      <c r="DC118" s="356"/>
      <c r="DD118" s="357"/>
    </row>
    <row r="119" spans="1:108" s="53" customFormat="1" x14ac:dyDescent="0.3">
      <c r="C119" s="14"/>
      <c r="D119" s="13" t="s">
        <v>11</v>
      </c>
      <c r="E119" s="65" t="s">
        <v>3</v>
      </c>
      <c r="F119" s="64" t="s">
        <v>9</v>
      </c>
      <c r="G119" s="64" t="s">
        <v>8</v>
      </c>
      <c r="H119" s="64" t="s">
        <v>7</v>
      </c>
      <c r="I119" s="63" t="s">
        <v>271</v>
      </c>
      <c r="J119" s="14"/>
      <c r="L119" s="14"/>
      <c r="M119" s="13" t="s">
        <v>11</v>
      </c>
      <c r="N119" s="65" t="s">
        <v>3</v>
      </c>
      <c r="O119" s="64" t="s">
        <v>9</v>
      </c>
      <c r="P119" s="64" t="s">
        <v>8</v>
      </c>
      <c r="Q119" s="64" t="s">
        <v>7</v>
      </c>
      <c r="R119" s="63" t="s">
        <v>271</v>
      </c>
      <c r="U119" s="14"/>
      <c r="V119" s="13" t="s">
        <v>11</v>
      </c>
      <c r="W119" s="65" t="s">
        <v>3</v>
      </c>
      <c r="X119" s="64" t="s">
        <v>9</v>
      </c>
      <c r="Y119" s="64" t="s">
        <v>8</v>
      </c>
      <c r="Z119" s="64" t="s">
        <v>7</v>
      </c>
      <c r="AA119" s="63" t="s">
        <v>271</v>
      </c>
      <c r="AD119" s="14"/>
      <c r="AE119" s="13" t="s">
        <v>11</v>
      </c>
      <c r="AF119" s="65" t="s">
        <v>3</v>
      </c>
      <c r="AG119" s="64" t="s">
        <v>9</v>
      </c>
      <c r="AH119" s="64" t="s">
        <v>8</v>
      </c>
      <c r="AI119" s="64" t="s">
        <v>7</v>
      </c>
      <c r="AJ119" s="63" t="s">
        <v>271</v>
      </c>
      <c r="AM119" s="14"/>
      <c r="AN119" s="13" t="s">
        <v>11</v>
      </c>
      <c r="AO119" s="65" t="s">
        <v>3</v>
      </c>
      <c r="AP119" s="64" t="s">
        <v>9</v>
      </c>
      <c r="AQ119" s="64" t="s">
        <v>8</v>
      </c>
      <c r="AR119" s="64" t="s">
        <v>7</v>
      </c>
      <c r="AS119" s="63" t="s">
        <v>271</v>
      </c>
      <c r="AV119" s="14"/>
      <c r="AW119" s="13" t="s">
        <v>11</v>
      </c>
      <c r="AX119" s="65" t="s">
        <v>3</v>
      </c>
      <c r="AY119" s="64" t="s">
        <v>9</v>
      </c>
      <c r="AZ119" s="64" t="s">
        <v>8</v>
      </c>
      <c r="BA119" s="64" t="s">
        <v>7</v>
      </c>
      <c r="BB119" s="63" t="s">
        <v>271</v>
      </c>
      <c r="BE119" s="14"/>
      <c r="BF119" s="13" t="s">
        <v>11</v>
      </c>
      <c r="BG119" s="65" t="s">
        <v>3</v>
      </c>
      <c r="BH119" s="64" t="s">
        <v>9</v>
      </c>
      <c r="BI119" s="64" t="s">
        <v>8</v>
      </c>
      <c r="BJ119" s="64" t="s">
        <v>7</v>
      </c>
      <c r="BK119" s="63" t="s">
        <v>271</v>
      </c>
      <c r="BN119" s="14"/>
      <c r="BO119" s="13" t="s">
        <v>11</v>
      </c>
      <c r="BP119" s="65" t="s">
        <v>3</v>
      </c>
      <c r="BQ119" s="64" t="s">
        <v>9</v>
      </c>
      <c r="BR119" s="64" t="s">
        <v>8</v>
      </c>
      <c r="BS119" s="64" t="s">
        <v>7</v>
      </c>
      <c r="BT119" s="63" t="s">
        <v>271</v>
      </c>
      <c r="BW119" s="14"/>
      <c r="BX119" s="13" t="s">
        <v>11</v>
      </c>
      <c r="BY119" s="65" t="s">
        <v>3</v>
      </c>
      <c r="BZ119" s="64" t="s">
        <v>9</v>
      </c>
      <c r="CA119" s="64" t="s">
        <v>8</v>
      </c>
      <c r="CB119" s="64" t="s">
        <v>7</v>
      </c>
      <c r="CC119" s="63" t="s">
        <v>271</v>
      </c>
      <c r="CF119" s="14"/>
      <c r="CG119" s="13" t="s">
        <v>11</v>
      </c>
      <c r="CH119" s="65" t="s">
        <v>3</v>
      </c>
      <c r="CI119" s="64" t="s">
        <v>9</v>
      </c>
      <c r="CJ119" s="64" t="s">
        <v>8</v>
      </c>
      <c r="CK119" s="64" t="s">
        <v>7</v>
      </c>
      <c r="CL119" s="63" t="s">
        <v>271</v>
      </c>
      <c r="CO119" s="14"/>
      <c r="CP119" s="13" t="s">
        <v>11</v>
      </c>
      <c r="CQ119" s="65" t="s">
        <v>3</v>
      </c>
      <c r="CR119" s="64" t="s">
        <v>9</v>
      </c>
      <c r="CS119" s="64" t="s">
        <v>8</v>
      </c>
      <c r="CT119" s="64" t="s">
        <v>7</v>
      </c>
      <c r="CU119" s="63" t="s">
        <v>271</v>
      </c>
      <c r="CX119" s="14"/>
      <c r="CY119" s="13" t="s">
        <v>11</v>
      </c>
      <c r="CZ119" s="65" t="s">
        <v>3</v>
      </c>
      <c r="DA119" s="64" t="s">
        <v>9</v>
      </c>
      <c r="DB119" s="64" t="s">
        <v>8</v>
      </c>
      <c r="DC119" s="64" t="s">
        <v>7</v>
      </c>
      <c r="DD119" s="63" t="s">
        <v>271</v>
      </c>
    </row>
    <row r="120" spans="1:108" s="53" customFormat="1" x14ac:dyDescent="0.3">
      <c r="B120" s="42" t="s">
        <v>54</v>
      </c>
      <c r="C120" s="361" t="s">
        <v>14</v>
      </c>
      <c r="D120" s="62" t="s">
        <v>3</v>
      </c>
      <c r="E120" s="18" t="s">
        <v>3</v>
      </c>
      <c r="F120" s="61" t="s">
        <v>9</v>
      </c>
      <c r="G120" s="61" t="s">
        <v>8</v>
      </c>
      <c r="H120" s="61" t="s">
        <v>7</v>
      </c>
      <c r="I120" s="60" t="s">
        <v>271</v>
      </c>
      <c r="J120" s="14"/>
      <c r="K120" s="42" t="s">
        <v>54</v>
      </c>
      <c r="L120" s="361" t="s">
        <v>76</v>
      </c>
      <c r="M120" s="62" t="s">
        <v>3</v>
      </c>
      <c r="N120" s="18" t="s">
        <v>3</v>
      </c>
      <c r="O120" s="61" t="s">
        <v>9</v>
      </c>
      <c r="P120" s="61" t="s">
        <v>8</v>
      </c>
      <c r="Q120" s="61" t="s">
        <v>7</v>
      </c>
      <c r="R120" s="60" t="s">
        <v>271</v>
      </c>
      <c r="T120" s="42" t="s">
        <v>54</v>
      </c>
      <c r="U120" s="361" t="s">
        <v>79</v>
      </c>
      <c r="V120" s="62" t="s">
        <v>3</v>
      </c>
      <c r="W120" s="18" t="s">
        <v>3</v>
      </c>
      <c r="X120" s="61" t="s">
        <v>9</v>
      </c>
      <c r="Y120" s="61" t="s">
        <v>8</v>
      </c>
      <c r="Z120" s="61" t="s">
        <v>7</v>
      </c>
      <c r="AA120" s="60" t="s">
        <v>271</v>
      </c>
      <c r="AC120" s="42" t="s">
        <v>54</v>
      </c>
      <c r="AD120" s="361" t="s">
        <v>228</v>
      </c>
      <c r="AE120" s="62" t="s">
        <v>3</v>
      </c>
      <c r="AF120" s="18" t="s">
        <v>3</v>
      </c>
      <c r="AG120" s="61" t="s">
        <v>9</v>
      </c>
      <c r="AH120" s="61" t="s">
        <v>8</v>
      </c>
      <c r="AI120" s="61" t="s">
        <v>7</v>
      </c>
      <c r="AJ120" s="60" t="s">
        <v>271</v>
      </c>
      <c r="AL120" s="42" t="s">
        <v>54</v>
      </c>
      <c r="AM120" s="361" t="s">
        <v>230</v>
      </c>
      <c r="AN120" s="62" t="s">
        <v>3</v>
      </c>
      <c r="AO120" s="18" t="s">
        <v>3</v>
      </c>
      <c r="AP120" s="61" t="s">
        <v>9</v>
      </c>
      <c r="AQ120" s="61" t="s">
        <v>8</v>
      </c>
      <c r="AR120" s="61" t="s">
        <v>7</v>
      </c>
      <c r="AS120" s="60" t="s">
        <v>271</v>
      </c>
      <c r="AU120" s="42" t="s">
        <v>54</v>
      </c>
      <c r="AV120" s="361" t="s">
        <v>232</v>
      </c>
      <c r="AW120" s="62" t="s">
        <v>3</v>
      </c>
      <c r="AX120" s="18" t="s">
        <v>3</v>
      </c>
      <c r="AY120" s="61" t="s">
        <v>9</v>
      </c>
      <c r="AZ120" s="61" t="s">
        <v>8</v>
      </c>
      <c r="BA120" s="61" t="s">
        <v>7</v>
      </c>
      <c r="BB120" s="60" t="s">
        <v>271</v>
      </c>
      <c r="BD120" s="42" t="s">
        <v>55</v>
      </c>
      <c r="BE120" s="361" t="s">
        <v>233</v>
      </c>
      <c r="BF120" s="62" t="s">
        <v>3</v>
      </c>
      <c r="BG120" s="18" t="s">
        <v>3</v>
      </c>
      <c r="BH120" s="61" t="s">
        <v>9</v>
      </c>
      <c r="BI120" s="61" t="s">
        <v>8</v>
      </c>
      <c r="BJ120" s="61" t="s">
        <v>7</v>
      </c>
      <c r="BK120" s="60" t="s">
        <v>271</v>
      </c>
      <c r="BM120" s="42" t="s">
        <v>55</v>
      </c>
      <c r="BN120" s="361" t="s">
        <v>235</v>
      </c>
      <c r="BO120" s="62" t="s">
        <v>3</v>
      </c>
      <c r="BP120" s="18" t="s">
        <v>3</v>
      </c>
      <c r="BQ120" s="61" t="s">
        <v>9</v>
      </c>
      <c r="BR120" s="61" t="s">
        <v>8</v>
      </c>
      <c r="BS120" s="61" t="s">
        <v>7</v>
      </c>
      <c r="BT120" s="60" t="s">
        <v>271</v>
      </c>
      <c r="BV120" s="42" t="s">
        <v>55</v>
      </c>
      <c r="BW120" s="342" t="s">
        <v>237</v>
      </c>
      <c r="BX120" s="62" t="s">
        <v>3</v>
      </c>
      <c r="BY120" s="18" t="s">
        <v>3</v>
      </c>
      <c r="BZ120" s="61" t="s">
        <v>9</v>
      </c>
      <c r="CA120" s="61" t="s">
        <v>8</v>
      </c>
      <c r="CB120" s="61" t="s">
        <v>7</v>
      </c>
      <c r="CC120" s="60" t="s">
        <v>271</v>
      </c>
      <c r="CE120" s="42" t="s">
        <v>55</v>
      </c>
      <c r="CF120" s="342" t="s">
        <v>241</v>
      </c>
      <c r="CG120" s="62" t="s">
        <v>3</v>
      </c>
      <c r="CH120" s="18" t="s">
        <v>3</v>
      </c>
      <c r="CI120" s="61" t="s">
        <v>9</v>
      </c>
      <c r="CJ120" s="61" t="s">
        <v>8</v>
      </c>
      <c r="CK120" s="61" t="s">
        <v>7</v>
      </c>
      <c r="CL120" s="60" t="s">
        <v>271</v>
      </c>
      <c r="CN120" s="42" t="s">
        <v>55</v>
      </c>
      <c r="CO120" s="342" t="s">
        <v>239</v>
      </c>
      <c r="CP120" s="62" t="s">
        <v>3</v>
      </c>
      <c r="CQ120" s="18" t="s">
        <v>3</v>
      </c>
      <c r="CR120" s="61" t="s">
        <v>9</v>
      </c>
      <c r="CS120" s="61" t="s">
        <v>8</v>
      </c>
      <c r="CT120" s="61" t="s">
        <v>7</v>
      </c>
      <c r="CU120" s="60" t="s">
        <v>271</v>
      </c>
      <c r="CW120" s="42" t="s">
        <v>55</v>
      </c>
      <c r="CX120" s="342" t="s">
        <v>242</v>
      </c>
      <c r="CY120" s="62" t="s">
        <v>3</v>
      </c>
      <c r="CZ120" s="18" t="s">
        <v>3</v>
      </c>
      <c r="DA120" s="61" t="s">
        <v>9</v>
      </c>
      <c r="DB120" s="61" t="s">
        <v>8</v>
      </c>
      <c r="DC120" s="61" t="s">
        <v>7</v>
      </c>
      <c r="DD120" s="60" t="s">
        <v>271</v>
      </c>
    </row>
    <row r="121" spans="1:108" s="53" customFormat="1" x14ac:dyDescent="0.3">
      <c r="C121" s="345"/>
      <c r="D121" s="59" t="s">
        <v>9</v>
      </c>
      <c r="E121" s="17" t="s">
        <v>9</v>
      </c>
      <c r="F121" s="58" t="s">
        <v>9</v>
      </c>
      <c r="G121" s="58" t="s">
        <v>8</v>
      </c>
      <c r="H121" s="58" t="s">
        <v>7</v>
      </c>
      <c r="I121" s="57" t="s">
        <v>271</v>
      </c>
      <c r="J121" s="14"/>
      <c r="L121" s="345"/>
      <c r="M121" s="59" t="s">
        <v>9</v>
      </c>
      <c r="N121" s="17" t="s">
        <v>9</v>
      </c>
      <c r="O121" s="58" t="s">
        <v>9</v>
      </c>
      <c r="P121" s="58" t="s">
        <v>8</v>
      </c>
      <c r="Q121" s="58" t="s">
        <v>7</v>
      </c>
      <c r="R121" s="57" t="s">
        <v>271</v>
      </c>
      <c r="U121" s="345"/>
      <c r="V121" s="59" t="s">
        <v>9</v>
      </c>
      <c r="W121" s="17" t="s">
        <v>9</v>
      </c>
      <c r="X121" s="58" t="s">
        <v>9</v>
      </c>
      <c r="Y121" s="58" t="s">
        <v>8</v>
      </c>
      <c r="Z121" s="58" t="s">
        <v>7</v>
      </c>
      <c r="AA121" s="57" t="s">
        <v>271</v>
      </c>
      <c r="AD121" s="345"/>
      <c r="AE121" s="59" t="s">
        <v>9</v>
      </c>
      <c r="AF121" s="17" t="s">
        <v>9</v>
      </c>
      <c r="AG121" s="58" t="s">
        <v>9</v>
      </c>
      <c r="AH121" s="58" t="s">
        <v>8</v>
      </c>
      <c r="AI121" s="58" t="s">
        <v>7</v>
      </c>
      <c r="AJ121" s="57" t="s">
        <v>271</v>
      </c>
      <c r="AM121" s="345"/>
      <c r="AN121" s="59" t="s">
        <v>9</v>
      </c>
      <c r="AO121" s="17" t="s">
        <v>9</v>
      </c>
      <c r="AP121" s="58" t="s">
        <v>9</v>
      </c>
      <c r="AQ121" s="58" t="s">
        <v>8</v>
      </c>
      <c r="AR121" s="58" t="s">
        <v>7</v>
      </c>
      <c r="AS121" s="57" t="s">
        <v>271</v>
      </c>
      <c r="AV121" s="345"/>
      <c r="AW121" s="59" t="s">
        <v>9</v>
      </c>
      <c r="AX121" s="17" t="s">
        <v>9</v>
      </c>
      <c r="AY121" s="58" t="s">
        <v>9</v>
      </c>
      <c r="AZ121" s="58" t="s">
        <v>8</v>
      </c>
      <c r="BA121" s="58" t="s">
        <v>7</v>
      </c>
      <c r="BB121" s="57" t="s">
        <v>271</v>
      </c>
      <c r="BE121" s="345"/>
      <c r="BF121" s="59" t="s">
        <v>9</v>
      </c>
      <c r="BG121" s="17" t="s">
        <v>9</v>
      </c>
      <c r="BH121" s="58" t="s">
        <v>9</v>
      </c>
      <c r="BI121" s="58" t="s">
        <v>8</v>
      </c>
      <c r="BJ121" s="58" t="s">
        <v>7</v>
      </c>
      <c r="BK121" s="57" t="s">
        <v>271</v>
      </c>
      <c r="BN121" s="345"/>
      <c r="BO121" s="59" t="s">
        <v>9</v>
      </c>
      <c r="BP121" s="17" t="s">
        <v>9</v>
      </c>
      <c r="BQ121" s="58" t="s">
        <v>9</v>
      </c>
      <c r="BR121" s="58" t="s">
        <v>8</v>
      </c>
      <c r="BS121" s="58" t="s">
        <v>7</v>
      </c>
      <c r="BT121" s="57" t="s">
        <v>271</v>
      </c>
      <c r="BW121" s="343"/>
      <c r="BX121" s="59" t="s">
        <v>9</v>
      </c>
      <c r="BY121" s="17" t="s">
        <v>9</v>
      </c>
      <c r="BZ121" s="58" t="s">
        <v>9</v>
      </c>
      <c r="CA121" s="58" t="s">
        <v>8</v>
      </c>
      <c r="CB121" s="58" t="s">
        <v>7</v>
      </c>
      <c r="CC121" s="57" t="s">
        <v>271</v>
      </c>
      <c r="CF121" s="343"/>
      <c r="CG121" s="59" t="s">
        <v>9</v>
      </c>
      <c r="CH121" s="17" t="s">
        <v>9</v>
      </c>
      <c r="CI121" s="58" t="s">
        <v>9</v>
      </c>
      <c r="CJ121" s="58" t="s">
        <v>8</v>
      </c>
      <c r="CK121" s="58" t="s">
        <v>7</v>
      </c>
      <c r="CL121" s="57" t="s">
        <v>271</v>
      </c>
      <c r="CO121" s="343"/>
      <c r="CP121" s="59" t="s">
        <v>9</v>
      </c>
      <c r="CQ121" s="17" t="s">
        <v>9</v>
      </c>
      <c r="CR121" s="58" t="s">
        <v>9</v>
      </c>
      <c r="CS121" s="58" t="s">
        <v>8</v>
      </c>
      <c r="CT121" s="58" t="s">
        <v>7</v>
      </c>
      <c r="CU121" s="57" t="s">
        <v>271</v>
      </c>
      <c r="CX121" s="343"/>
      <c r="CY121" s="59" t="s">
        <v>9</v>
      </c>
      <c r="CZ121" s="17" t="s">
        <v>9</v>
      </c>
      <c r="DA121" s="58" t="s">
        <v>9</v>
      </c>
      <c r="DB121" s="58" t="s">
        <v>8</v>
      </c>
      <c r="DC121" s="58" t="s">
        <v>7</v>
      </c>
      <c r="DD121" s="57" t="s">
        <v>271</v>
      </c>
    </row>
    <row r="122" spans="1:108" s="53" customFormat="1" x14ac:dyDescent="0.3">
      <c r="C122" s="345"/>
      <c r="D122" s="59" t="s">
        <v>8</v>
      </c>
      <c r="E122" s="17" t="s">
        <v>8</v>
      </c>
      <c r="F122" s="58" t="s">
        <v>8</v>
      </c>
      <c r="G122" s="58" t="s">
        <v>8</v>
      </c>
      <c r="H122" s="58" t="s">
        <v>7</v>
      </c>
      <c r="I122" s="57" t="s">
        <v>271</v>
      </c>
      <c r="J122" s="14"/>
      <c r="L122" s="345"/>
      <c r="M122" s="59" t="s">
        <v>8</v>
      </c>
      <c r="N122" s="17" t="s">
        <v>8</v>
      </c>
      <c r="O122" s="58" t="s">
        <v>8</v>
      </c>
      <c r="P122" s="58" t="s">
        <v>8</v>
      </c>
      <c r="Q122" s="58" t="s">
        <v>7</v>
      </c>
      <c r="R122" s="57" t="s">
        <v>271</v>
      </c>
      <c r="U122" s="345"/>
      <c r="V122" s="59" t="s">
        <v>8</v>
      </c>
      <c r="W122" s="17" t="s">
        <v>8</v>
      </c>
      <c r="X122" s="58" t="s">
        <v>8</v>
      </c>
      <c r="Y122" s="58" t="s">
        <v>8</v>
      </c>
      <c r="Z122" s="58" t="s">
        <v>7</v>
      </c>
      <c r="AA122" s="57" t="s">
        <v>271</v>
      </c>
      <c r="AD122" s="345"/>
      <c r="AE122" s="59" t="s">
        <v>8</v>
      </c>
      <c r="AF122" s="17" t="s">
        <v>8</v>
      </c>
      <c r="AG122" s="58" t="s">
        <v>8</v>
      </c>
      <c r="AH122" s="58" t="s">
        <v>8</v>
      </c>
      <c r="AI122" s="58" t="s">
        <v>7</v>
      </c>
      <c r="AJ122" s="57" t="s">
        <v>271</v>
      </c>
      <c r="AM122" s="345"/>
      <c r="AN122" s="59" t="s">
        <v>8</v>
      </c>
      <c r="AO122" s="17" t="s">
        <v>8</v>
      </c>
      <c r="AP122" s="58" t="s">
        <v>8</v>
      </c>
      <c r="AQ122" s="58" t="s">
        <v>8</v>
      </c>
      <c r="AR122" s="58" t="s">
        <v>7</v>
      </c>
      <c r="AS122" s="57" t="s">
        <v>271</v>
      </c>
      <c r="AV122" s="345"/>
      <c r="AW122" s="59" t="s">
        <v>8</v>
      </c>
      <c r="AX122" s="17" t="s">
        <v>8</v>
      </c>
      <c r="AY122" s="58" t="s">
        <v>8</v>
      </c>
      <c r="AZ122" s="58" t="s">
        <v>8</v>
      </c>
      <c r="BA122" s="58" t="s">
        <v>7</v>
      </c>
      <c r="BB122" s="57" t="s">
        <v>271</v>
      </c>
      <c r="BE122" s="345"/>
      <c r="BF122" s="59" t="s">
        <v>8</v>
      </c>
      <c r="BG122" s="17" t="s">
        <v>8</v>
      </c>
      <c r="BH122" s="58" t="s">
        <v>8</v>
      </c>
      <c r="BI122" s="58" t="s">
        <v>8</v>
      </c>
      <c r="BJ122" s="58" t="s">
        <v>7</v>
      </c>
      <c r="BK122" s="57" t="s">
        <v>271</v>
      </c>
      <c r="BN122" s="345"/>
      <c r="BO122" s="59" t="s">
        <v>8</v>
      </c>
      <c r="BP122" s="17" t="s">
        <v>8</v>
      </c>
      <c r="BQ122" s="58" t="s">
        <v>8</v>
      </c>
      <c r="BR122" s="58" t="s">
        <v>8</v>
      </c>
      <c r="BS122" s="58" t="s">
        <v>7</v>
      </c>
      <c r="BT122" s="57" t="s">
        <v>271</v>
      </c>
      <c r="BW122" s="343"/>
      <c r="BX122" s="59" t="s">
        <v>8</v>
      </c>
      <c r="BY122" s="17" t="s">
        <v>8</v>
      </c>
      <c r="BZ122" s="58" t="s">
        <v>8</v>
      </c>
      <c r="CA122" s="58" t="s">
        <v>8</v>
      </c>
      <c r="CB122" s="58" t="s">
        <v>7</v>
      </c>
      <c r="CC122" s="57" t="s">
        <v>271</v>
      </c>
      <c r="CF122" s="343"/>
      <c r="CG122" s="59" t="s">
        <v>8</v>
      </c>
      <c r="CH122" s="17" t="s">
        <v>8</v>
      </c>
      <c r="CI122" s="58" t="s">
        <v>8</v>
      </c>
      <c r="CJ122" s="58" t="s">
        <v>8</v>
      </c>
      <c r="CK122" s="58" t="s">
        <v>7</v>
      </c>
      <c r="CL122" s="57" t="s">
        <v>271</v>
      </c>
      <c r="CO122" s="343"/>
      <c r="CP122" s="59" t="s">
        <v>8</v>
      </c>
      <c r="CQ122" s="17" t="s">
        <v>8</v>
      </c>
      <c r="CR122" s="58" t="s">
        <v>8</v>
      </c>
      <c r="CS122" s="58" t="s">
        <v>8</v>
      </c>
      <c r="CT122" s="58" t="s">
        <v>7</v>
      </c>
      <c r="CU122" s="57" t="s">
        <v>271</v>
      </c>
      <c r="CX122" s="343"/>
      <c r="CY122" s="59" t="s">
        <v>8</v>
      </c>
      <c r="CZ122" s="17" t="s">
        <v>8</v>
      </c>
      <c r="DA122" s="58" t="s">
        <v>8</v>
      </c>
      <c r="DB122" s="58" t="s">
        <v>8</v>
      </c>
      <c r="DC122" s="58" t="s">
        <v>7</v>
      </c>
      <c r="DD122" s="57" t="s">
        <v>271</v>
      </c>
    </row>
    <row r="123" spans="1:108" s="53" customFormat="1" x14ac:dyDescent="0.3">
      <c r="C123" s="345"/>
      <c r="D123" s="59" t="s">
        <v>7</v>
      </c>
      <c r="E123" s="17" t="s">
        <v>7</v>
      </c>
      <c r="F123" s="58" t="s">
        <v>7</v>
      </c>
      <c r="G123" s="58" t="s">
        <v>7</v>
      </c>
      <c r="H123" s="58" t="s">
        <v>7</v>
      </c>
      <c r="I123" s="57" t="s">
        <v>271</v>
      </c>
      <c r="J123" s="14"/>
      <c r="L123" s="345"/>
      <c r="M123" s="59" t="s">
        <v>7</v>
      </c>
      <c r="N123" s="17" t="s">
        <v>7</v>
      </c>
      <c r="O123" s="58" t="s">
        <v>7</v>
      </c>
      <c r="P123" s="58" t="s">
        <v>7</v>
      </c>
      <c r="Q123" s="58" t="s">
        <v>7</v>
      </c>
      <c r="R123" s="57" t="s">
        <v>271</v>
      </c>
      <c r="U123" s="345"/>
      <c r="V123" s="59" t="s">
        <v>7</v>
      </c>
      <c r="W123" s="17" t="s">
        <v>7</v>
      </c>
      <c r="X123" s="58" t="s">
        <v>7</v>
      </c>
      <c r="Y123" s="58" t="s">
        <v>7</v>
      </c>
      <c r="Z123" s="58" t="s">
        <v>7</v>
      </c>
      <c r="AA123" s="57" t="s">
        <v>271</v>
      </c>
      <c r="AD123" s="345"/>
      <c r="AE123" s="59" t="s">
        <v>7</v>
      </c>
      <c r="AF123" s="17" t="s">
        <v>7</v>
      </c>
      <c r="AG123" s="58" t="s">
        <v>7</v>
      </c>
      <c r="AH123" s="58" t="s">
        <v>7</v>
      </c>
      <c r="AI123" s="58" t="s">
        <v>7</v>
      </c>
      <c r="AJ123" s="57" t="s">
        <v>271</v>
      </c>
      <c r="AM123" s="345"/>
      <c r="AN123" s="59" t="s">
        <v>7</v>
      </c>
      <c r="AO123" s="17" t="s">
        <v>7</v>
      </c>
      <c r="AP123" s="58" t="s">
        <v>7</v>
      </c>
      <c r="AQ123" s="58" t="s">
        <v>7</v>
      </c>
      <c r="AR123" s="58" t="s">
        <v>7</v>
      </c>
      <c r="AS123" s="57" t="s">
        <v>271</v>
      </c>
      <c r="AV123" s="345"/>
      <c r="AW123" s="59" t="s">
        <v>7</v>
      </c>
      <c r="AX123" s="17" t="s">
        <v>7</v>
      </c>
      <c r="AY123" s="58" t="s">
        <v>7</v>
      </c>
      <c r="AZ123" s="58" t="s">
        <v>7</v>
      </c>
      <c r="BA123" s="58" t="s">
        <v>7</v>
      </c>
      <c r="BB123" s="57" t="s">
        <v>271</v>
      </c>
      <c r="BE123" s="345"/>
      <c r="BF123" s="59" t="s">
        <v>7</v>
      </c>
      <c r="BG123" s="17" t="s">
        <v>7</v>
      </c>
      <c r="BH123" s="58" t="s">
        <v>7</v>
      </c>
      <c r="BI123" s="58" t="s">
        <v>7</v>
      </c>
      <c r="BJ123" s="58" t="s">
        <v>7</v>
      </c>
      <c r="BK123" s="57" t="s">
        <v>271</v>
      </c>
      <c r="BN123" s="345"/>
      <c r="BO123" s="59" t="s">
        <v>7</v>
      </c>
      <c r="BP123" s="17" t="s">
        <v>7</v>
      </c>
      <c r="BQ123" s="58" t="s">
        <v>7</v>
      </c>
      <c r="BR123" s="58" t="s">
        <v>7</v>
      </c>
      <c r="BS123" s="58" t="s">
        <v>7</v>
      </c>
      <c r="BT123" s="57" t="s">
        <v>271</v>
      </c>
      <c r="BW123" s="343"/>
      <c r="BX123" s="59" t="s">
        <v>7</v>
      </c>
      <c r="BY123" s="17" t="s">
        <v>7</v>
      </c>
      <c r="BZ123" s="58" t="s">
        <v>7</v>
      </c>
      <c r="CA123" s="58" t="s">
        <v>7</v>
      </c>
      <c r="CB123" s="58" t="s">
        <v>7</v>
      </c>
      <c r="CC123" s="57" t="s">
        <v>271</v>
      </c>
      <c r="CF123" s="343"/>
      <c r="CG123" s="59" t="s">
        <v>7</v>
      </c>
      <c r="CH123" s="17" t="s">
        <v>7</v>
      </c>
      <c r="CI123" s="58" t="s">
        <v>7</v>
      </c>
      <c r="CJ123" s="58" t="s">
        <v>7</v>
      </c>
      <c r="CK123" s="58" t="s">
        <v>7</v>
      </c>
      <c r="CL123" s="57" t="s">
        <v>271</v>
      </c>
      <c r="CO123" s="343"/>
      <c r="CP123" s="59" t="s">
        <v>7</v>
      </c>
      <c r="CQ123" s="17" t="s">
        <v>7</v>
      </c>
      <c r="CR123" s="58" t="s">
        <v>7</v>
      </c>
      <c r="CS123" s="58" t="s">
        <v>7</v>
      </c>
      <c r="CT123" s="58" t="s">
        <v>7</v>
      </c>
      <c r="CU123" s="57" t="s">
        <v>271</v>
      </c>
      <c r="CX123" s="343"/>
      <c r="CY123" s="59" t="s">
        <v>7</v>
      </c>
      <c r="CZ123" s="17" t="s">
        <v>7</v>
      </c>
      <c r="DA123" s="58" t="s">
        <v>7</v>
      </c>
      <c r="DB123" s="58" t="s">
        <v>7</v>
      </c>
      <c r="DC123" s="58" t="s">
        <v>7</v>
      </c>
      <c r="DD123" s="57" t="s">
        <v>271</v>
      </c>
    </row>
    <row r="124" spans="1:108" s="53" customFormat="1" x14ac:dyDescent="0.3">
      <c r="C124" s="346"/>
      <c r="D124" s="56" t="s">
        <v>271</v>
      </c>
      <c r="E124" s="16" t="s">
        <v>271</v>
      </c>
      <c r="F124" s="55" t="s">
        <v>271</v>
      </c>
      <c r="G124" s="55" t="s">
        <v>271</v>
      </c>
      <c r="H124" s="55" t="s">
        <v>271</v>
      </c>
      <c r="I124" s="54" t="s">
        <v>271</v>
      </c>
      <c r="J124" s="14"/>
      <c r="L124" s="346"/>
      <c r="M124" s="56" t="s">
        <v>271</v>
      </c>
      <c r="N124" s="16" t="s">
        <v>271</v>
      </c>
      <c r="O124" s="55" t="s">
        <v>271</v>
      </c>
      <c r="P124" s="55" t="s">
        <v>271</v>
      </c>
      <c r="Q124" s="55" t="s">
        <v>271</v>
      </c>
      <c r="R124" s="54" t="s">
        <v>271</v>
      </c>
      <c r="U124" s="346"/>
      <c r="V124" s="56" t="s">
        <v>271</v>
      </c>
      <c r="W124" s="16" t="s">
        <v>271</v>
      </c>
      <c r="X124" s="55" t="s">
        <v>271</v>
      </c>
      <c r="Y124" s="55" t="s">
        <v>271</v>
      </c>
      <c r="Z124" s="55" t="s">
        <v>271</v>
      </c>
      <c r="AA124" s="54" t="s">
        <v>271</v>
      </c>
      <c r="AD124" s="346"/>
      <c r="AE124" s="56" t="s">
        <v>271</v>
      </c>
      <c r="AF124" s="16" t="s">
        <v>271</v>
      </c>
      <c r="AG124" s="55" t="s">
        <v>271</v>
      </c>
      <c r="AH124" s="55" t="s">
        <v>271</v>
      </c>
      <c r="AI124" s="55" t="s">
        <v>271</v>
      </c>
      <c r="AJ124" s="54" t="s">
        <v>271</v>
      </c>
      <c r="AM124" s="346"/>
      <c r="AN124" s="56" t="s">
        <v>271</v>
      </c>
      <c r="AO124" s="16" t="s">
        <v>271</v>
      </c>
      <c r="AP124" s="55" t="s">
        <v>271</v>
      </c>
      <c r="AQ124" s="55" t="s">
        <v>271</v>
      </c>
      <c r="AR124" s="55" t="s">
        <v>271</v>
      </c>
      <c r="AS124" s="54" t="s">
        <v>271</v>
      </c>
      <c r="AV124" s="346"/>
      <c r="AW124" s="56" t="s">
        <v>271</v>
      </c>
      <c r="AX124" s="16" t="s">
        <v>271</v>
      </c>
      <c r="AY124" s="55" t="s">
        <v>271</v>
      </c>
      <c r="AZ124" s="55" t="s">
        <v>271</v>
      </c>
      <c r="BA124" s="55" t="s">
        <v>271</v>
      </c>
      <c r="BB124" s="54" t="s">
        <v>271</v>
      </c>
      <c r="BE124" s="346"/>
      <c r="BF124" s="56" t="s">
        <v>271</v>
      </c>
      <c r="BG124" s="16" t="s">
        <v>271</v>
      </c>
      <c r="BH124" s="55" t="s">
        <v>271</v>
      </c>
      <c r="BI124" s="55" t="s">
        <v>271</v>
      </c>
      <c r="BJ124" s="55" t="s">
        <v>271</v>
      </c>
      <c r="BK124" s="54" t="s">
        <v>271</v>
      </c>
      <c r="BN124" s="346"/>
      <c r="BO124" s="56" t="s">
        <v>271</v>
      </c>
      <c r="BP124" s="16" t="s">
        <v>271</v>
      </c>
      <c r="BQ124" s="55" t="s">
        <v>271</v>
      </c>
      <c r="BR124" s="55" t="s">
        <v>271</v>
      </c>
      <c r="BS124" s="55" t="s">
        <v>271</v>
      </c>
      <c r="BT124" s="54" t="s">
        <v>271</v>
      </c>
      <c r="BW124" s="344"/>
      <c r="BX124" s="56" t="s">
        <v>271</v>
      </c>
      <c r="BY124" s="16" t="s">
        <v>271</v>
      </c>
      <c r="BZ124" s="55" t="s">
        <v>271</v>
      </c>
      <c r="CA124" s="55" t="s">
        <v>271</v>
      </c>
      <c r="CB124" s="55" t="s">
        <v>271</v>
      </c>
      <c r="CC124" s="54" t="s">
        <v>271</v>
      </c>
      <c r="CF124" s="344"/>
      <c r="CG124" s="56" t="s">
        <v>271</v>
      </c>
      <c r="CH124" s="16" t="s">
        <v>271</v>
      </c>
      <c r="CI124" s="55" t="s">
        <v>271</v>
      </c>
      <c r="CJ124" s="55" t="s">
        <v>271</v>
      </c>
      <c r="CK124" s="55" t="s">
        <v>271</v>
      </c>
      <c r="CL124" s="54" t="s">
        <v>271</v>
      </c>
      <c r="CO124" s="344"/>
      <c r="CP124" s="56" t="s">
        <v>271</v>
      </c>
      <c r="CQ124" s="16" t="s">
        <v>271</v>
      </c>
      <c r="CR124" s="55" t="s">
        <v>271</v>
      </c>
      <c r="CS124" s="55" t="s">
        <v>271</v>
      </c>
      <c r="CT124" s="55" t="s">
        <v>271</v>
      </c>
      <c r="CU124" s="54" t="s">
        <v>271</v>
      </c>
      <c r="CX124" s="344"/>
      <c r="CY124" s="56" t="s">
        <v>271</v>
      </c>
      <c r="CZ124" s="16" t="s">
        <v>271</v>
      </c>
      <c r="DA124" s="55" t="s">
        <v>271</v>
      </c>
      <c r="DB124" s="55" t="s">
        <v>271</v>
      </c>
      <c r="DC124" s="55" t="s">
        <v>271</v>
      </c>
      <c r="DD124" s="54" t="s">
        <v>271</v>
      </c>
    </row>
    <row r="129" spans="1:135" x14ac:dyDescent="0.3">
      <c r="B129" s="53"/>
      <c r="C129" s="14"/>
      <c r="D129" s="14"/>
      <c r="E129" s="47" t="s">
        <v>54</v>
      </c>
      <c r="F129" s="73"/>
      <c r="G129" s="73"/>
      <c r="H129" s="73"/>
      <c r="I129" s="43" t="s">
        <v>248</v>
      </c>
      <c r="K129" s="53"/>
      <c r="L129" s="14"/>
      <c r="M129" s="14"/>
      <c r="N129" s="47" t="s">
        <v>54</v>
      </c>
      <c r="O129" s="73"/>
      <c r="P129" s="73"/>
      <c r="Q129" s="73"/>
      <c r="R129" s="43" t="s">
        <v>249</v>
      </c>
      <c r="T129" s="53"/>
      <c r="U129" s="14"/>
      <c r="V129" s="14"/>
      <c r="W129" s="47" t="s">
        <v>54</v>
      </c>
      <c r="X129" s="73"/>
      <c r="Y129" s="73"/>
      <c r="Z129" s="73"/>
      <c r="AA129" s="43" t="s">
        <v>251</v>
      </c>
      <c r="AC129" s="53"/>
      <c r="AD129" s="14"/>
      <c r="AE129" s="14"/>
      <c r="AF129" s="47" t="s">
        <v>54</v>
      </c>
      <c r="AG129" s="73"/>
      <c r="AH129" s="73"/>
      <c r="AI129" s="73"/>
      <c r="AJ129" s="43" t="s">
        <v>254</v>
      </c>
      <c r="AL129" s="53"/>
      <c r="AM129" s="14"/>
      <c r="AN129" s="14"/>
      <c r="AO129" s="47" t="s">
        <v>54</v>
      </c>
      <c r="AP129" s="73"/>
      <c r="AQ129" s="73"/>
      <c r="AR129" s="73"/>
      <c r="AS129" s="43" t="s">
        <v>257</v>
      </c>
      <c r="AU129" s="53"/>
      <c r="AV129" s="14"/>
      <c r="AW129" s="14"/>
      <c r="AX129" s="47" t="s">
        <v>54</v>
      </c>
      <c r="AY129" s="73"/>
      <c r="AZ129" s="73"/>
      <c r="BA129" s="73"/>
      <c r="BB129" s="43" t="s">
        <v>259</v>
      </c>
      <c r="BD129" s="53"/>
      <c r="BE129" s="14"/>
      <c r="BF129" s="14"/>
      <c r="BG129" s="47" t="s">
        <v>55</v>
      </c>
      <c r="BH129" s="73"/>
      <c r="BI129" s="73"/>
      <c r="BJ129" s="73"/>
      <c r="BK129" s="43" t="s">
        <v>260</v>
      </c>
      <c r="BM129" s="53"/>
      <c r="BN129" s="14"/>
      <c r="BO129" s="14"/>
      <c r="BP129" s="47" t="s">
        <v>55</v>
      </c>
      <c r="BQ129" s="73"/>
      <c r="BR129" s="73"/>
      <c r="BS129" s="73"/>
      <c r="BT129" s="43" t="s">
        <v>261</v>
      </c>
      <c r="BU129" s="53"/>
      <c r="BV129" s="53"/>
      <c r="BW129" s="14"/>
      <c r="BX129" s="14"/>
      <c r="BY129" s="47" t="s">
        <v>55</v>
      </c>
      <c r="BZ129" s="73"/>
      <c r="CA129" s="73"/>
      <c r="CB129" s="73"/>
      <c r="CC129" s="43" t="s">
        <v>262</v>
      </c>
      <c r="CD129" s="53"/>
      <c r="CE129" s="53"/>
      <c r="CF129" s="14"/>
      <c r="CG129" s="14"/>
      <c r="CH129" s="47" t="s">
        <v>55</v>
      </c>
      <c r="CI129" s="73"/>
      <c r="CJ129" s="73"/>
      <c r="CK129" s="73"/>
      <c r="CL129" s="43" t="s">
        <v>263</v>
      </c>
      <c r="CM129" s="53"/>
      <c r="CN129" s="53"/>
      <c r="CO129" s="14"/>
      <c r="CP129" s="14"/>
      <c r="CQ129" s="47" t="s">
        <v>54</v>
      </c>
      <c r="CR129" s="73"/>
      <c r="CS129" s="73"/>
      <c r="CT129" s="73"/>
      <c r="CU129" s="43" t="s">
        <v>298</v>
      </c>
      <c r="CW129" s="53"/>
      <c r="CX129" s="14"/>
      <c r="CY129" s="14"/>
      <c r="CZ129" s="47" t="s">
        <v>54</v>
      </c>
      <c r="DA129" s="73"/>
      <c r="DB129" s="73"/>
      <c r="DC129" s="73"/>
      <c r="DD129" s="43" t="s">
        <v>301</v>
      </c>
      <c r="DF129" s="53"/>
      <c r="DG129" s="14"/>
      <c r="DH129" s="14"/>
      <c r="DI129" s="47" t="s">
        <v>55</v>
      </c>
      <c r="DJ129" s="73"/>
      <c r="DK129" s="73"/>
      <c r="DL129" s="73"/>
      <c r="DM129" s="43" t="s">
        <v>302</v>
      </c>
      <c r="DO129" s="53"/>
      <c r="DP129" s="14"/>
      <c r="DQ129" s="14"/>
      <c r="DR129" s="47" t="s">
        <v>55</v>
      </c>
      <c r="DS129" s="73"/>
      <c r="DT129" s="73"/>
      <c r="DU129" s="73"/>
      <c r="DV129" s="43" t="s">
        <v>303</v>
      </c>
      <c r="DX129" s="53"/>
      <c r="DY129" s="14"/>
      <c r="DZ129" s="14"/>
      <c r="EA129" s="47" t="s">
        <v>55</v>
      </c>
      <c r="EB129" s="73"/>
      <c r="EC129" s="73"/>
      <c r="ED129" s="73"/>
      <c r="EE129" s="43" t="s">
        <v>207</v>
      </c>
    </row>
    <row r="130" spans="1:135" ht="15.6" x14ac:dyDescent="0.3">
      <c r="B130" s="53"/>
      <c r="C130" s="14"/>
      <c r="D130" s="66" t="s">
        <v>36</v>
      </c>
      <c r="E130" s="339" t="s">
        <v>221</v>
      </c>
      <c r="F130" s="340"/>
      <c r="G130" s="340"/>
      <c r="H130" s="340"/>
      <c r="I130" s="341"/>
      <c r="K130" s="53"/>
      <c r="L130" s="14"/>
      <c r="M130" s="66" t="s">
        <v>36</v>
      </c>
      <c r="N130" s="339" t="s">
        <v>246</v>
      </c>
      <c r="O130" s="340"/>
      <c r="P130" s="340"/>
      <c r="Q130" s="340"/>
      <c r="R130" s="341"/>
      <c r="T130" s="53"/>
      <c r="U130" s="14"/>
      <c r="V130" s="66" t="s">
        <v>36</v>
      </c>
      <c r="W130" s="339" t="s">
        <v>250</v>
      </c>
      <c r="X130" s="340"/>
      <c r="Y130" s="340"/>
      <c r="Z130" s="340"/>
      <c r="AA130" s="341"/>
      <c r="AC130" s="53"/>
      <c r="AD130" s="14"/>
      <c r="AE130" s="66" t="s">
        <v>36</v>
      </c>
      <c r="AF130" s="339" t="s">
        <v>253</v>
      </c>
      <c r="AG130" s="340"/>
      <c r="AH130" s="340"/>
      <c r="AI130" s="340"/>
      <c r="AJ130" s="341"/>
      <c r="AL130" s="53"/>
      <c r="AM130" s="14"/>
      <c r="AN130" s="66" t="s">
        <v>36</v>
      </c>
      <c r="AO130" s="339" t="s">
        <v>256</v>
      </c>
      <c r="AP130" s="340"/>
      <c r="AQ130" s="340"/>
      <c r="AR130" s="340"/>
      <c r="AS130" s="341"/>
      <c r="AU130" s="53"/>
      <c r="AV130" s="14"/>
      <c r="AW130" s="66" t="s">
        <v>36</v>
      </c>
      <c r="AX130" s="339" t="s">
        <v>248</v>
      </c>
      <c r="AY130" s="340"/>
      <c r="AZ130" s="340"/>
      <c r="BA130" s="340"/>
      <c r="BB130" s="341"/>
      <c r="BD130" s="53"/>
      <c r="BE130" s="14"/>
      <c r="BF130" s="66" t="s">
        <v>36</v>
      </c>
      <c r="BG130" s="339" t="s">
        <v>249</v>
      </c>
      <c r="BH130" s="340"/>
      <c r="BI130" s="340"/>
      <c r="BJ130" s="340"/>
      <c r="BK130" s="341"/>
      <c r="BM130" s="53"/>
      <c r="BN130" s="14"/>
      <c r="BO130" s="66" t="s">
        <v>36</v>
      </c>
      <c r="BP130" s="339" t="s">
        <v>254</v>
      </c>
      <c r="BQ130" s="340"/>
      <c r="BR130" s="340"/>
      <c r="BS130" s="340"/>
      <c r="BT130" s="341"/>
      <c r="BU130" s="53"/>
      <c r="BV130" s="53"/>
      <c r="BW130" s="14"/>
      <c r="BX130" s="66" t="s">
        <v>36</v>
      </c>
      <c r="BY130" s="339" t="s">
        <v>259</v>
      </c>
      <c r="BZ130" s="340"/>
      <c r="CA130" s="340"/>
      <c r="CB130" s="340"/>
      <c r="CC130" s="341"/>
      <c r="CD130" s="53"/>
      <c r="CE130" s="53"/>
      <c r="CF130" s="14"/>
      <c r="CG130" s="66" t="s">
        <v>36</v>
      </c>
      <c r="CH130" s="339" t="s">
        <v>261</v>
      </c>
      <c r="CI130" s="340"/>
      <c r="CJ130" s="340"/>
      <c r="CK130" s="340"/>
      <c r="CL130" s="341"/>
      <c r="CM130" s="53"/>
      <c r="CN130" s="53"/>
      <c r="CO130" s="14"/>
      <c r="CP130" s="66" t="s">
        <v>36</v>
      </c>
      <c r="CQ130" s="339" t="s">
        <v>260</v>
      </c>
      <c r="CR130" s="340"/>
      <c r="CS130" s="340"/>
      <c r="CT130" s="340"/>
      <c r="CU130" s="341"/>
      <c r="CW130" s="53"/>
      <c r="CX130" s="14"/>
      <c r="CY130" s="66" t="s">
        <v>36</v>
      </c>
      <c r="CZ130" s="339" t="s">
        <v>300</v>
      </c>
      <c r="DA130" s="340"/>
      <c r="DB130" s="340"/>
      <c r="DC130" s="340"/>
      <c r="DD130" s="341"/>
      <c r="DF130" s="53"/>
      <c r="DG130" s="14"/>
      <c r="DH130" s="66" t="s">
        <v>36</v>
      </c>
      <c r="DI130" s="339" t="s">
        <v>301</v>
      </c>
      <c r="DJ130" s="340"/>
      <c r="DK130" s="340"/>
      <c r="DL130" s="340"/>
      <c r="DM130" s="341"/>
      <c r="DO130" s="53"/>
      <c r="DP130" s="14"/>
      <c r="DQ130" s="66" t="s">
        <v>36</v>
      </c>
      <c r="DR130" s="339" t="s">
        <v>262</v>
      </c>
      <c r="DS130" s="340"/>
      <c r="DT130" s="340"/>
      <c r="DU130" s="340"/>
      <c r="DV130" s="341"/>
      <c r="DX130" s="53"/>
      <c r="DY130" s="14"/>
      <c r="DZ130" s="66" t="s">
        <v>36</v>
      </c>
      <c r="EA130" s="339" t="s">
        <v>303</v>
      </c>
      <c r="EB130" s="340"/>
      <c r="EC130" s="340"/>
      <c r="ED130" s="340"/>
      <c r="EE130" s="341"/>
    </row>
    <row r="131" spans="1:135" x14ac:dyDescent="0.3">
      <c r="B131" s="53"/>
      <c r="C131" s="14"/>
      <c r="D131" s="13" t="s">
        <v>222</v>
      </c>
      <c r="E131" s="25" t="s">
        <v>3</v>
      </c>
      <c r="F131" s="24" t="s">
        <v>212</v>
      </c>
      <c r="G131" s="24" t="s">
        <v>213</v>
      </c>
      <c r="H131" s="24" t="s">
        <v>214</v>
      </c>
      <c r="I131" s="23" t="s">
        <v>215</v>
      </c>
      <c r="K131" s="53"/>
      <c r="L131" s="14"/>
      <c r="M131" s="13" t="s">
        <v>222</v>
      </c>
      <c r="N131" s="25" t="s">
        <v>3</v>
      </c>
      <c r="O131" s="24" t="s">
        <v>212</v>
      </c>
      <c r="P131" s="24" t="s">
        <v>213</v>
      </c>
      <c r="Q131" s="24" t="s">
        <v>214</v>
      </c>
      <c r="R131" s="23" t="s">
        <v>215</v>
      </c>
      <c r="T131" s="53"/>
      <c r="U131" s="14"/>
      <c r="V131" s="13" t="s">
        <v>222</v>
      </c>
      <c r="W131" s="25" t="s">
        <v>3</v>
      </c>
      <c r="X131" s="24" t="s">
        <v>212</v>
      </c>
      <c r="Y131" s="24" t="s">
        <v>213</v>
      </c>
      <c r="Z131" s="24" t="s">
        <v>214</v>
      </c>
      <c r="AA131" s="23" t="s">
        <v>215</v>
      </c>
      <c r="AC131" s="53"/>
      <c r="AD131" s="14"/>
      <c r="AE131" s="13" t="s">
        <v>222</v>
      </c>
      <c r="AF131" s="25" t="s">
        <v>3</v>
      </c>
      <c r="AG131" s="24" t="s">
        <v>212</v>
      </c>
      <c r="AH131" s="24" t="s">
        <v>213</v>
      </c>
      <c r="AI131" s="24" t="s">
        <v>214</v>
      </c>
      <c r="AJ131" s="23" t="s">
        <v>215</v>
      </c>
      <c r="AL131" s="53"/>
      <c r="AM131" s="14"/>
      <c r="AN131" s="13" t="s">
        <v>222</v>
      </c>
      <c r="AO131" s="25" t="s">
        <v>3</v>
      </c>
      <c r="AP131" s="24" t="s">
        <v>212</v>
      </c>
      <c r="AQ131" s="24" t="s">
        <v>213</v>
      </c>
      <c r="AR131" s="24" t="s">
        <v>214</v>
      </c>
      <c r="AS131" s="23" t="s">
        <v>215</v>
      </c>
      <c r="AU131" s="53"/>
      <c r="AV131" s="14"/>
      <c r="AW131" s="13" t="s">
        <v>222</v>
      </c>
      <c r="AX131" s="25" t="s">
        <v>3</v>
      </c>
      <c r="AY131" s="24" t="s">
        <v>212</v>
      </c>
      <c r="AZ131" s="24" t="s">
        <v>213</v>
      </c>
      <c r="BA131" s="24" t="s">
        <v>214</v>
      </c>
      <c r="BB131" s="23" t="s">
        <v>215</v>
      </c>
      <c r="BD131" s="53"/>
      <c r="BE131" s="14"/>
      <c r="BF131" s="13" t="s">
        <v>222</v>
      </c>
      <c r="BG131" s="25" t="s">
        <v>3</v>
      </c>
      <c r="BH131" s="24" t="s">
        <v>212</v>
      </c>
      <c r="BI131" s="24" t="s">
        <v>213</v>
      </c>
      <c r="BJ131" s="24" t="s">
        <v>214</v>
      </c>
      <c r="BK131" s="23" t="s">
        <v>215</v>
      </c>
      <c r="BM131" s="53"/>
      <c r="BN131" s="14"/>
      <c r="BO131" s="13" t="s">
        <v>222</v>
      </c>
      <c r="BP131" s="25" t="s">
        <v>3</v>
      </c>
      <c r="BQ131" s="24" t="s">
        <v>212</v>
      </c>
      <c r="BR131" s="24" t="s">
        <v>213</v>
      </c>
      <c r="BS131" s="24" t="s">
        <v>214</v>
      </c>
      <c r="BT131" s="23" t="s">
        <v>215</v>
      </c>
      <c r="BU131" s="53"/>
      <c r="BV131" s="53"/>
      <c r="BW131" s="14"/>
      <c r="BX131" s="13" t="s">
        <v>222</v>
      </c>
      <c r="BY131" s="25" t="s">
        <v>3</v>
      </c>
      <c r="BZ131" s="24" t="s">
        <v>212</v>
      </c>
      <c r="CA131" s="24" t="s">
        <v>213</v>
      </c>
      <c r="CB131" s="24" t="s">
        <v>214</v>
      </c>
      <c r="CC131" s="23" t="s">
        <v>215</v>
      </c>
      <c r="CD131" s="53"/>
      <c r="CE131" s="53"/>
      <c r="CF131" s="14"/>
      <c r="CG131" s="13" t="s">
        <v>222</v>
      </c>
      <c r="CH131" s="25" t="s">
        <v>3</v>
      </c>
      <c r="CI131" s="24" t="s">
        <v>212</v>
      </c>
      <c r="CJ131" s="24" t="s">
        <v>213</v>
      </c>
      <c r="CK131" s="24" t="s">
        <v>214</v>
      </c>
      <c r="CL131" s="23" t="s">
        <v>215</v>
      </c>
      <c r="CM131" s="53"/>
      <c r="CN131" s="53"/>
      <c r="CO131" s="14"/>
      <c r="CP131" s="13" t="s">
        <v>222</v>
      </c>
      <c r="CQ131" s="25" t="s">
        <v>3</v>
      </c>
      <c r="CR131" s="24" t="s">
        <v>212</v>
      </c>
      <c r="CS131" s="24" t="s">
        <v>213</v>
      </c>
      <c r="CT131" s="24" t="s">
        <v>214</v>
      </c>
      <c r="CU131" s="23" t="s">
        <v>215</v>
      </c>
      <c r="CW131" s="53"/>
      <c r="CX131" s="14"/>
      <c r="CY131" s="13" t="s">
        <v>222</v>
      </c>
      <c r="CZ131" s="25" t="s">
        <v>3</v>
      </c>
      <c r="DA131" s="24" t="s">
        <v>212</v>
      </c>
      <c r="DB131" s="24" t="s">
        <v>213</v>
      </c>
      <c r="DC131" s="24" t="s">
        <v>214</v>
      </c>
      <c r="DD131" s="23" t="s">
        <v>215</v>
      </c>
      <c r="DF131" s="53"/>
      <c r="DG131" s="14"/>
      <c r="DH131" s="13" t="s">
        <v>222</v>
      </c>
      <c r="DI131" s="25" t="s">
        <v>3</v>
      </c>
      <c r="DJ131" s="24" t="s">
        <v>212</v>
      </c>
      <c r="DK131" s="24" t="s">
        <v>213</v>
      </c>
      <c r="DL131" s="24" t="s">
        <v>214</v>
      </c>
      <c r="DM131" s="23" t="s">
        <v>215</v>
      </c>
      <c r="DO131" s="53"/>
      <c r="DP131" s="14"/>
      <c r="DQ131" s="13" t="s">
        <v>222</v>
      </c>
      <c r="DR131" s="25" t="s">
        <v>3</v>
      </c>
      <c r="DS131" s="24" t="s">
        <v>212</v>
      </c>
      <c r="DT131" s="24" t="s">
        <v>213</v>
      </c>
      <c r="DU131" s="24" t="s">
        <v>214</v>
      </c>
      <c r="DV131" s="23" t="s">
        <v>215</v>
      </c>
      <c r="DX131" s="53"/>
      <c r="DY131" s="14"/>
      <c r="DZ131" s="13" t="s">
        <v>222</v>
      </c>
      <c r="EA131" s="25" t="s">
        <v>3</v>
      </c>
      <c r="EB131" s="24" t="s">
        <v>212</v>
      </c>
      <c r="EC131" s="24" t="s">
        <v>213</v>
      </c>
      <c r="ED131" s="24" t="s">
        <v>214</v>
      </c>
      <c r="EE131" s="23" t="s">
        <v>215</v>
      </c>
    </row>
    <row r="132" spans="1:135" x14ac:dyDescent="0.3">
      <c r="B132" s="42" t="s">
        <v>54</v>
      </c>
      <c r="C132" s="342" t="s">
        <v>220</v>
      </c>
      <c r="D132" s="62" t="s">
        <v>3</v>
      </c>
      <c r="E132" s="17" t="s">
        <v>3</v>
      </c>
      <c r="F132" s="281" t="s">
        <v>212</v>
      </c>
      <c r="G132" s="58" t="s">
        <v>213</v>
      </c>
      <c r="H132" s="281" t="s">
        <v>214</v>
      </c>
      <c r="I132" s="57" t="s">
        <v>215</v>
      </c>
      <c r="K132" s="42" t="s">
        <v>54</v>
      </c>
      <c r="L132" s="342" t="s">
        <v>245</v>
      </c>
      <c r="M132" s="62" t="s">
        <v>3</v>
      </c>
      <c r="N132" s="17" t="s">
        <v>3</v>
      </c>
      <c r="O132" s="281" t="s">
        <v>212</v>
      </c>
      <c r="P132" s="58" t="s">
        <v>213</v>
      </c>
      <c r="Q132" s="281" t="s">
        <v>214</v>
      </c>
      <c r="R132" s="57" t="s">
        <v>215</v>
      </c>
      <c r="T132" s="42" t="s">
        <v>54</v>
      </c>
      <c r="U132" s="342" t="s">
        <v>247</v>
      </c>
      <c r="V132" s="62" t="s">
        <v>3</v>
      </c>
      <c r="W132" s="17" t="s">
        <v>3</v>
      </c>
      <c r="X132" s="281" t="s">
        <v>212</v>
      </c>
      <c r="Y132" s="58" t="s">
        <v>213</v>
      </c>
      <c r="Z132" s="281" t="s">
        <v>214</v>
      </c>
      <c r="AA132" s="57" t="s">
        <v>215</v>
      </c>
      <c r="AC132" s="42" t="s">
        <v>54</v>
      </c>
      <c r="AD132" s="342" t="s">
        <v>252</v>
      </c>
      <c r="AE132" s="62" t="s">
        <v>3</v>
      </c>
      <c r="AF132" s="17" t="s">
        <v>3</v>
      </c>
      <c r="AG132" s="281" t="s">
        <v>212</v>
      </c>
      <c r="AH132" s="58" t="s">
        <v>213</v>
      </c>
      <c r="AI132" s="281" t="s">
        <v>214</v>
      </c>
      <c r="AJ132" s="57" t="s">
        <v>215</v>
      </c>
      <c r="AL132" s="42" t="s">
        <v>54</v>
      </c>
      <c r="AM132" s="342" t="s">
        <v>255</v>
      </c>
      <c r="AN132" s="62" t="s">
        <v>3</v>
      </c>
      <c r="AO132" s="17" t="s">
        <v>3</v>
      </c>
      <c r="AP132" s="281" t="s">
        <v>212</v>
      </c>
      <c r="AQ132" s="58" t="s">
        <v>213</v>
      </c>
      <c r="AR132" s="281" t="s">
        <v>214</v>
      </c>
      <c r="AS132" s="57" t="s">
        <v>215</v>
      </c>
      <c r="AU132" s="42" t="s">
        <v>54</v>
      </c>
      <c r="AV132" s="342" t="s">
        <v>258</v>
      </c>
      <c r="AW132" s="62" t="s">
        <v>3</v>
      </c>
      <c r="AX132" s="17" t="s">
        <v>3</v>
      </c>
      <c r="AY132" s="281" t="s">
        <v>212</v>
      </c>
      <c r="AZ132" s="58" t="s">
        <v>213</v>
      </c>
      <c r="BA132" s="281" t="s">
        <v>214</v>
      </c>
      <c r="BB132" s="57" t="s">
        <v>215</v>
      </c>
      <c r="BD132" s="42" t="s">
        <v>55</v>
      </c>
      <c r="BE132" s="342" t="s">
        <v>248</v>
      </c>
      <c r="BF132" s="62" t="s">
        <v>3</v>
      </c>
      <c r="BG132" s="17" t="s">
        <v>3</v>
      </c>
      <c r="BH132" s="281" t="s">
        <v>212</v>
      </c>
      <c r="BI132" s="58" t="s">
        <v>213</v>
      </c>
      <c r="BJ132" s="281" t="s">
        <v>214</v>
      </c>
      <c r="BK132" s="57" t="s">
        <v>215</v>
      </c>
      <c r="BM132" s="42" t="s">
        <v>55</v>
      </c>
      <c r="BN132" s="342" t="s">
        <v>251</v>
      </c>
      <c r="BO132" s="62" t="s">
        <v>3</v>
      </c>
      <c r="BP132" s="17" t="s">
        <v>3</v>
      </c>
      <c r="BQ132" s="281" t="s">
        <v>212</v>
      </c>
      <c r="BR132" s="58" t="s">
        <v>213</v>
      </c>
      <c r="BS132" s="281" t="s">
        <v>214</v>
      </c>
      <c r="BT132" s="57" t="s">
        <v>215</v>
      </c>
      <c r="BU132" s="53"/>
      <c r="BV132" s="42" t="s">
        <v>55</v>
      </c>
      <c r="BW132" s="342" t="s">
        <v>257</v>
      </c>
      <c r="BX132" s="62" t="s">
        <v>3</v>
      </c>
      <c r="BY132" s="17" t="s">
        <v>3</v>
      </c>
      <c r="BZ132" s="281" t="s">
        <v>212</v>
      </c>
      <c r="CA132" s="58" t="s">
        <v>213</v>
      </c>
      <c r="CB132" s="281" t="s">
        <v>214</v>
      </c>
      <c r="CC132" s="57" t="s">
        <v>215</v>
      </c>
      <c r="CD132" s="53"/>
      <c r="CE132" s="42" t="s">
        <v>55</v>
      </c>
      <c r="CF132" s="342" t="s">
        <v>260</v>
      </c>
      <c r="CG132" s="62" t="s">
        <v>3</v>
      </c>
      <c r="CH132" s="17" t="s">
        <v>3</v>
      </c>
      <c r="CI132" s="281" t="s">
        <v>212</v>
      </c>
      <c r="CJ132" s="58" t="s">
        <v>213</v>
      </c>
      <c r="CK132" s="281" t="s">
        <v>214</v>
      </c>
      <c r="CL132" s="57" t="s">
        <v>215</v>
      </c>
      <c r="CM132" s="53"/>
      <c r="CN132" s="42" t="s">
        <v>54</v>
      </c>
      <c r="CO132" s="342" t="s">
        <v>297</v>
      </c>
      <c r="CP132" s="62" t="s">
        <v>3</v>
      </c>
      <c r="CQ132" s="17" t="s">
        <v>3</v>
      </c>
      <c r="CR132" s="281" t="s">
        <v>212</v>
      </c>
      <c r="CS132" s="58" t="s">
        <v>213</v>
      </c>
      <c r="CT132" s="281" t="s">
        <v>214</v>
      </c>
      <c r="CU132" s="57" t="s">
        <v>215</v>
      </c>
      <c r="CW132" s="42" t="s">
        <v>54</v>
      </c>
      <c r="CX132" s="342" t="s">
        <v>299</v>
      </c>
      <c r="CY132" s="62" t="s">
        <v>3</v>
      </c>
      <c r="CZ132" s="17" t="s">
        <v>3</v>
      </c>
      <c r="DA132" s="281" t="s">
        <v>212</v>
      </c>
      <c r="DB132" s="58" t="s">
        <v>213</v>
      </c>
      <c r="DC132" s="281" t="s">
        <v>214</v>
      </c>
      <c r="DD132" s="57" t="s">
        <v>215</v>
      </c>
      <c r="DF132" s="42" t="s">
        <v>55</v>
      </c>
      <c r="DG132" s="342" t="s">
        <v>298</v>
      </c>
      <c r="DH132" s="62" t="s">
        <v>3</v>
      </c>
      <c r="DI132" s="17" t="s">
        <v>3</v>
      </c>
      <c r="DJ132" s="281" t="s">
        <v>212</v>
      </c>
      <c r="DK132" s="58" t="s">
        <v>213</v>
      </c>
      <c r="DL132" s="281" t="s">
        <v>214</v>
      </c>
      <c r="DM132" s="57" t="s">
        <v>215</v>
      </c>
      <c r="DO132" s="42" t="s">
        <v>55</v>
      </c>
      <c r="DP132" s="342" t="s">
        <v>263</v>
      </c>
      <c r="DQ132" s="62" t="s">
        <v>3</v>
      </c>
      <c r="DR132" s="17" t="s">
        <v>3</v>
      </c>
      <c r="DS132" s="281" t="s">
        <v>212</v>
      </c>
      <c r="DT132" s="58" t="s">
        <v>213</v>
      </c>
      <c r="DU132" s="281" t="s">
        <v>214</v>
      </c>
      <c r="DV132" s="57" t="s">
        <v>215</v>
      </c>
      <c r="DX132" s="42" t="s">
        <v>55</v>
      </c>
      <c r="DY132" s="342" t="s">
        <v>302</v>
      </c>
      <c r="DZ132" s="62" t="s">
        <v>3</v>
      </c>
      <c r="EA132" s="17" t="s">
        <v>3</v>
      </c>
      <c r="EB132" s="281" t="s">
        <v>212</v>
      </c>
      <c r="EC132" s="58" t="s">
        <v>213</v>
      </c>
      <c r="ED132" s="281" t="s">
        <v>214</v>
      </c>
      <c r="EE132" s="57" t="s">
        <v>215</v>
      </c>
    </row>
    <row r="133" spans="1:135" x14ac:dyDescent="0.3">
      <c r="B133" s="53"/>
      <c r="C133" s="343"/>
      <c r="D133" s="59" t="s">
        <v>212</v>
      </c>
      <c r="E133" s="58" t="s">
        <v>212</v>
      </c>
      <c r="F133" s="58" t="s">
        <v>212</v>
      </c>
      <c r="G133" s="58" t="s">
        <v>213</v>
      </c>
      <c r="H133" s="281" t="s">
        <v>214</v>
      </c>
      <c r="I133" s="57" t="s">
        <v>215</v>
      </c>
      <c r="K133" s="53"/>
      <c r="L133" s="343"/>
      <c r="M133" s="59" t="s">
        <v>212</v>
      </c>
      <c r="N133" s="58" t="s">
        <v>212</v>
      </c>
      <c r="O133" s="58" t="s">
        <v>212</v>
      </c>
      <c r="P133" s="58" t="s">
        <v>213</v>
      </c>
      <c r="Q133" s="281" t="s">
        <v>214</v>
      </c>
      <c r="R133" s="57" t="s">
        <v>215</v>
      </c>
      <c r="T133" s="53"/>
      <c r="U133" s="343"/>
      <c r="V133" s="59" t="s">
        <v>212</v>
      </c>
      <c r="W133" s="58" t="s">
        <v>212</v>
      </c>
      <c r="X133" s="58" t="s">
        <v>212</v>
      </c>
      <c r="Y133" s="58" t="s">
        <v>213</v>
      </c>
      <c r="Z133" s="281" t="s">
        <v>214</v>
      </c>
      <c r="AA133" s="57" t="s">
        <v>215</v>
      </c>
      <c r="AC133" s="53"/>
      <c r="AD133" s="343"/>
      <c r="AE133" s="59" t="s">
        <v>212</v>
      </c>
      <c r="AF133" s="58" t="s">
        <v>212</v>
      </c>
      <c r="AG133" s="58" t="s">
        <v>212</v>
      </c>
      <c r="AH133" s="58" t="s">
        <v>213</v>
      </c>
      <c r="AI133" s="281" t="s">
        <v>214</v>
      </c>
      <c r="AJ133" s="57" t="s">
        <v>215</v>
      </c>
      <c r="AL133" s="53"/>
      <c r="AM133" s="343"/>
      <c r="AN133" s="59" t="s">
        <v>212</v>
      </c>
      <c r="AO133" s="58" t="s">
        <v>212</v>
      </c>
      <c r="AP133" s="58" t="s">
        <v>212</v>
      </c>
      <c r="AQ133" s="58" t="s">
        <v>213</v>
      </c>
      <c r="AR133" s="281" t="s">
        <v>214</v>
      </c>
      <c r="AS133" s="57" t="s">
        <v>215</v>
      </c>
      <c r="AU133" s="53"/>
      <c r="AV133" s="343"/>
      <c r="AW133" s="59" t="s">
        <v>212</v>
      </c>
      <c r="AX133" s="58" t="s">
        <v>212</v>
      </c>
      <c r="AY133" s="58" t="s">
        <v>212</v>
      </c>
      <c r="AZ133" s="58" t="s">
        <v>213</v>
      </c>
      <c r="BA133" s="281" t="s">
        <v>214</v>
      </c>
      <c r="BB133" s="57" t="s">
        <v>215</v>
      </c>
      <c r="BD133" s="53"/>
      <c r="BE133" s="343"/>
      <c r="BF133" s="59" t="s">
        <v>212</v>
      </c>
      <c r="BG133" s="58" t="s">
        <v>212</v>
      </c>
      <c r="BH133" s="58" t="s">
        <v>212</v>
      </c>
      <c r="BI133" s="58" t="s">
        <v>213</v>
      </c>
      <c r="BJ133" s="281" t="s">
        <v>214</v>
      </c>
      <c r="BK133" s="57" t="s">
        <v>215</v>
      </c>
      <c r="BM133" s="53"/>
      <c r="BN133" s="343"/>
      <c r="BO133" s="59" t="s">
        <v>212</v>
      </c>
      <c r="BP133" s="58" t="s">
        <v>212</v>
      </c>
      <c r="BQ133" s="58" t="s">
        <v>212</v>
      </c>
      <c r="BR133" s="58" t="s">
        <v>213</v>
      </c>
      <c r="BS133" s="281" t="s">
        <v>214</v>
      </c>
      <c r="BT133" s="57" t="s">
        <v>215</v>
      </c>
      <c r="BU133" s="53"/>
      <c r="BV133" s="53"/>
      <c r="BW133" s="343"/>
      <c r="BX133" s="59" t="s">
        <v>212</v>
      </c>
      <c r="BY133" s="58" t="s">
        <v>212</v>
      </c>
      <c r="BZ133" s="58" t="s">
        <v>212</v>
      </c>
      <c r="CA133" s="58" t="s">
        <v>213</v>
      </c>
      <c r="CB133" s="281" t="s">
        <v>214</v>
      </c>
      <c r="CC133" s="57" t="s">
        <v>215</v>
      </c>
      <c r="CD133" s="53"/>
      <c r="CE133" s="53"/>
      <c r="CF133" s="343"/>
      <c r="CG133" s="59" t="s">
        <v>212</v>
      </c>
      <c r="CH133" s="58" t="s">
        <v>212</v>
      </c>
      <c r="CI133" s="58" t="s">
        <v>212</v>
      </c>
      <c r="CJ133" s="58" t="s">
        <v>213</v>
      </c>
      <c r="CK133" s="281" t="s">
        <v>214</v>
      </c>
      <c r="CL133" s="57" t="s">
        <v>215</v>
      </c>
      <c r="CM133" s="53"/>
      <c r="CN133" s="53"/>
      <c r="CO133" s="343"/>
      <c r="CP133" s="59" t="s">
        <v>212</v>
      </c>
      <c r="CQ133" s="58" t="s">
        <v>212</v>
      </c>
      <c r="CR133" s="58" t="s">
        <v>212</v>
      </c>
      <c r="CS133" s="58" t="s">
        <v>213</v>
      </c>
      <c r="CT133" s="281" t="s">
        <v>214</v>
      </c>
      <c r="CU133" s="57" t="s">
        <v>215</v>
      </c>
      <c r="CW133" s="53"/>
      <c r="CX133" s="343"/>
      <c r="CY133" s="59" t="s">
        <v>212</v>
      </c>
      <c r="CZ133" s="58" t="s">
        <v>212</v>
      </c>
      <c r="DA133" s="58" t="s">
        <v>212</v>
      </c>
      <c r="DB133" s="58" t="s">
        <v>213</v>
      </c>
      <c r="DC133" s="281" t="s">
        <v>214</v>
      </c>
      <c r="DD133" s="57" t="s">
        <v>215</v>
      </c>
      <c r="DF133" s="53"/>
      <c r="DG133" s="343"/>
      <c r="DH133" s="59" t="s">
        <v>212</v>
      </c>
      <c r="DI133" s="58" t="s">
        <v>212</v>
      </c>
      <c r="DJ133" s="58" t="s">
        <v>212</v>
      </c>
      <c r="DK133" s="58" t="s">
        <v>213</v>
      </c>
      <c r="DL133" s="281" t="s">
        <v>214</v>
      </c>
      <c r="DM133" s="57" t="s">
        <v>215</v>
      </c>
      <c r="DO133" s="53"/>
      <c r="DP133" s="343"/>
      <c r="DQ133" s="59" t="s">
        <v>212</v>
      </c>
      <c r="DR133" s="58" t="s">
        <v>212</v>
      </c>
      <c r="DS133" s="58" t="s">
        <v>212</v>
      </c>
      <c r="DT133" s="58" t="s">
        <v>213</v>
      </c>
      <c r="DU133" s="281" t="s">
        <v>214</v>
      </c>
      <c r="DV133" s="57" t="s">
        <v>215</v>
      </c>
      <c r="DX133" s="53"/>
      <c r="DY133" s="343"/>
      <c r="DZ133" s="59" t="s">
        <v>212</v>
      </c>
      <c r="EA133" s="58" t="s">
        <v>212</v>
      </c>
      <c r="EB133" s="58" t="s">
        <v>212</v>
      </c>
      <c r="EC133" s="58" t="s">
        <v>213</v>
      </c>
      <c r="ED133" s="281" t="s">
        <v>214</v>
      </c>
      <c r="EE133" s="57" t="s">
        <v>215</v>
      </c>
    </row>
    <row r="134" spans="1:135" x14ac:dyDescent="0.3">
      <c r="B134" s="53"/>
      <c r="C134" s="343"/>
      <c r="D134" s="59" t="s">
        <v>213</v>
      </c>
      <c r="E134" s="58" t="s">
        <v>213</v>
      </c>
      <c r="F134" s="58" t="s">
        <v>213</v>
      </c>
      <c r="G134" s="58" t="s">
        <v>213</v>
      </c>
      <c r="H134" s="281" t="s">
        <v>214</v>
      </c>
      <c r="I134" s="57" t="s">
        <v>215</v>
      </c>
      <c r="K134" s="53"/>
      <c r="L134" s="343"/>
      <c r="M134" s="59" t="s">
        <v>213</v>
      </c>
      <c r="N134" s="58" t="s">
        <v>213</v>
      </c>
      <c r="O134" s="58" t="s">
        <v>213</v>
      </c>
      <c r="P134" s="58" t="s">
        <v>213</v>
      </c>
      <c r="Q134" s="281" t="s">
        <v>214</v>
      </c>
      <c r="R134" s="57" t="s">
        <v>215</v>
      </c>
      <c r="T134" s="53"/>
      <c r="U134" s="343"/>
      <c r="V134" s="59" t="s">
        <v>213</v>
      </c>
      <c r="W134" s="58" t="s">
        <v>213</v>
      </c>
      <c r="X134" s="58" t="s">
        <v>213</v>
      </c>
      <c r="Y134" s="58" t="s">
        <v>213</v>
      </c>
      <c r="Z134" s="281" t="s">
        <v>214</v>
      </c>
      <c r="AA134" s="57" t="s">
        <v>215</v>
      </c>
      <c r="AC134" s="53"/>
      <c r="AD134" s="343"/>
      <c r="AE134" s="59" t="s">
        <v>213</v>
      </c>
      <c r="AF134" s="58" t="s">
        <v>213</v>
      </c>
      <c r="AG134" s="58" t="s">
        <v>213</v>
      </c>
      <c r="AH134" s="58" t="s">
        <v>213</v>
      </c>
      <c r="AI134" s="281" t="s">
        <v>214</v>
      </c>
      <c r="AJ134" s="57" t="s">
        <v>215</v>
      </c>
      <c r="AL134" s="53"/>
      <c r="AM134" s="343"/>
      <c r="AN134" s="59" t="s">
        <v>213</v>
      </c>
      <c r="AO134" s="58" t="s">
        <v>213</v>
      </c>
      <c r="AP134" s="58" t="s">
        <v>213</v>
      </c>
      <c r="AQ134" s="58" t="s">
        <v>213</v>
      </c>
      <c r="AR134" s="281" t="s">
        <v>214</v>
      </c>
      <c r="AS134" s="57" t="s">
        <v>215</v>
      </c>
      <c r="AU134" s="53"/>
      <c r="AV134" s="343"/>
      <c r="AW134" s="59" t="s">
        <v>213</v>
      </c>
      <c r="AX134" s="58" t="s">
        <v>213</v>
      </c>
      <c r="AY134" s="58" t="s">
        <v>213</v>
      </c>
      <c r="AZ134" s="58" t="s">
        <v>213</v>
      </c>
      <c r="BA134" s="281" t="s">
        <v>214</v>
      </c>
      <c r="BB134" s="57" t="s">
        <v>215</v>
      </c>
      <c r="BD134" s="53"/>
      <c r="BE134" s="343"/>
      <c r="BF134" s="59" t="s">
        <v>213</v>
      </c>
      <c r="BG134" s="58" t="s">
        <v>213</v>
      </c>
      <c r="BH134" s="58" t="s">
        <v>213</v>
      </c>
      <c r="BI134" s="58" t="s">
        <v>213</v>
      </c>
      <c r="BJ134" s="281" t="s">
        <v>214</v>
      </c>
      <c r="BK134" s="57" t="s">
        <v>215</v>
      </c>
      <c r="BM134" s="53"/>
      <c r="BN134" s="343"/>
      <c r="BO134" s="59" t="s">
        <v>213</v>
      </c>
      <c r="BP134" s="58" t="s">
        <v>213</v>
      </c>
      <c r="BQ134" s="58" t="s">
        <v>213</v>
      </c>
      <c r="BR134" s="58" t="s">
        <v>213</v>
      </c>
      <c r="BS134" s="281" t="s">
        <v>214</v>
      </c>
      <c r="BT134" s="57" t="s">
        <v>215</v>
      </c>
      <c r="BU134" s="53"/>
      <c r="BV134" s="53"/>
      <c r="BW134" s="343"/>
      <c r="BX134" s="59" t="s">
        <v>213</v>
      </c>
      <c r="BY134" s="58" t="s">
        <v>213</v>
      </c>
      <c r="BZ134" s="58" t="s">
        <v>213</v>
      </c>
      <c r="CA134" s="58" t="s">
        <v>213</v>
      </c>
      <c r="CB134" s="281" t="s">
        <v>214</v>
      </c>
      <c r="CC134" s="57" t="s">
        <v>215</v>
      </c>
      <c r="CD134" s="53"/>
      <c r="CE134" s="53"/>
      <c r="CF134" s="343"/>
      <c r="CG134" s="59" t="s">
        <v>213</v>
      </c>
      <c r="CH134" s="58" t="s">
        <v>213</v>
      </c>
      <c r="CI134" s="58" t="s">
        <v>213</v>
      </c>
      <c r="CJ134" s="58" t="s">
        <v>213</v>
      </c>
      <c r="CK134" s="281" t="s">
        <v>214</v>
      </c>
      <c r="CL134" s="57" t="s">
        <v>215</v>
      </c>
      <c r="CM134" s="53"/>
      <c r="CN134" s="53"/>
      <c r="CO134" s="343"/>
      <c r="CP134" s="59" t="s">
        <v>213</v>
      </c>
      <c r="CQ134" s="58" t="s">
        <v>213</v>
      </c>
      <c r="CR134" s="58" t="s">
        <v>213</v>
      </c>
      <c r="CS134" s="58" t="s">
        <v>213</v>
      </c>
      <c r="CT134" s="281" t="s">
        <v>214</v>
      </c>
      <c r="CU134" s="57" t="s">
        <v>215</v>
      </c>
      <c r="CW134" s="53"/>
      <c r="CX134" s="343"/>
      <c r="CY134" s="59" t="s">
        <v>213</v>
      </c>
      <c r="CZ134" s="58" t="s">
        <v>213</v>
      </c>
      <c r="DA134" s="58" t="s">
        <v>213</v>
      </c>
      <c r="DB134" s="58" t="s">
        <v>213</v>
      </c>
      <c r="DC134" s="281" t="s">
        <v>214</v>
      </c>
      <c r="DD134" s="57" t="s">
        <v>215</v>
      </c>
      <c r="DF134" s="53"/>
      <c r="DG134" s="343"/>
      <c r="DH134" s="59" t="s">
        <v>213</v>
      </c>
      <c r="DI134" s="58" t="s">
        <v>213</v>
      </c>
      <c r="DJ134" s="58" t="s">
        <v>213</v>
      </c>
      <c r="DK134" s="58" t="s">
        <v>213</v>
      </c>
      <c r="DL134" s="281" t="s">
        <v>214</v>
      </c>
      <c r="DM134" s="57" t="s">
        <v>215</v>
      </c>
      <c r="DO134" s="53"/>
      <c r="DP134" s="343"/>
      <c r="DQ134" s="59" t="s">
        <v>213</v>
      </c>
      <c r="DR134" s="58" t="s">
        <v>213</v>
      </c>
      <c r="DS134" s="58" t="s">
        <v>213</v>
      </c>
      <c r="DT134" s="58" t="s">
        <v>213</v>
      </c>
      <c r="DU134" s="281" t="s">
        <v>214</v>
      </c>
      <c r="DV134" s="57" t="s">
        <v>215</v>
      </c>
      <c r="DX134" s="53"/>
      <c r="DY134" s="343"/>
      <c r="DZ134" s="59" t="s">
        <v>213</v>
      </c>
      <c r="EA134" s="58" t="s">
        <v>213</v>
      </c>
      <c r="EB134" s="58" t="s">
        <v>213</v>
      </c>
      <c r="EC134" s="58" t="s">
        <v>213</v>
      </c>
      <c r="ED134" s="281" t="s">
        <v>214</v>
      </c>
      <c r="EE134" s="57" t="s">
        <v>215</v>
      </c>
    </row>
    <row r="135" spans="1:135" x14ac:dyDescent="0.3">
      <c r="B135" s="53"/>
      <c r="C135" s="343"/>
      <c r="D135" s="59" t="s">
        <v>214</v>
      </c>
      <c r="E135" s="281" t="s">
        <v>214</v>
      </c>
      <c r="F135" s="281" t="s">
        <v>214</v>
      </c>
      <c r="G135" s="281" t="s">
        <v>214</v>
      </c>
      <c r="H135" s="281" t="s">
        <v>214</v>
      </c>
      <c r="I135" s="57" t="s">
        <v>215</v>
      </c>
      <c r="K135" s="53"/>
      <c r="L135" s="343"/>
      <c r="M135" s="59" t="s">
        <v>214</v>
      </c>
      <c r="N135" s="281" t="s">
        <v>214</v>
      </c>
      <c r="O135" s="281" t="s">
        <v>214</v>
      </c>
      <c r="P135" s="281" t="s">
        <v>214</v>
      </c>
      <c r="Q135" s="281" t="s">
        <v>214</v>
      </c>
      <c r="R135" s="57" t="s">
        <v>215</v>
      </c>
      <c r="T135" s="53"/>
      <c r="U135" s="343"/>
      <c r="V135" s="59" t="s">
        <v>214</v>
      </c>
      <c r="W135" s="281" t="s">
        <v>214</v>
      </c>
      <c r="X135" s="281" t="s">
        <v>214</v>
      </c>
      <c r="Y135" s="281" t="s">
        <v>214</v>
      </c>
      <c r="Z135" s="281" t="s">
        <v>214</v>
      </c>
      <c r="AA135" s="57" t="s">
        <v>215</v>
      </c>
      <c r="AC135" s="53"/>
      <c r="AD135" s="343"/>
      <c r="AE135" s="59" t="s">
        <v>214</v>
      </c>
      <c r="AF135" s="281" t="s">
        <v>214</v>
      </c>
      <c r="AG135" s="281" t="s">
        <v>214</v>
      </c>
      <c r="AH135" s="281" t="s">
        <v>214</v>
      </c>
      <c r="AI135" s="281" t="s">
        <v>214</v>
      </c>
      <c r="AJ135" s="57" t="s">
        <v>215</v>
      </c>
      <c r="AL135" s="53"/>
      <c r="AM135" s="343"/>
      <c r="AN135" s="59" t="s">
        <v>214</v>
      </c>
      <c r="AO135" s="281" t="s">
        <v>214</v>
      </c>
      <c r="AP135" s="281" t="s">
        <v>214</v>
      </c>
      <c r="AQ135" s="281" t="s">
        <v>214</v>
      </c>
      <c r="AR135" s="281" t="s">
        <v>214</v>
      </c>
      <c r="AS135" s="57" t="s">
        <v>215</v>
      </c>
      <c r="AU135" s="53"/>
      <c r="AV135" s="343"/>
      <c r="AW135" s="59" t="s">
        <v>214</v>
      </c>
      <c r="AX135" s="281" t="s">
        <v>214</v>
      </c>
      <c r="AY135" s="281" t="s">
        <v>214</v>
      </c>
      <c r="AZ135" s="281" t="s">
        <v>214</v>
      </c>
      <c r="BA135" s="281" t="s">
        <v>214</v>
      </c>
      <c r="BB135" s="57" t="s">
        <v>215</v>
      </c>
      <c r="BD135" s="53"/>
      <c r="BE135" s="343"/>
      <c r="BF135" s="59" t="s">
        <v>214</v>
      </c>
      <c r="BG135" s="281" t="s">
        <v>214</v>
      </c>
      <c r="BH135" s="281" t="s">
        <v>214</v>
      </c>
      <c r="BI135" s="281" t="s">
        <v>214</v>
      </c>
      <c r="BJ135" s="281" t="s">
        <v>214</v>
      </c>
      <c r="BK135" s="57" t="s">
        <v>215</v>
      </c>
      <c r="BM135" s="53"/>
      <c r="BN135" s="343"/>
      <c r="BO135" s="59" t="s">
        <v>214</v>
      </c>
      <c r="BP135" s="281" t="s">
        <v>214</v>
      </c>
      <c r="BQ135" s="281" t="s">
        <v>214</v>
      </c>
      <c r="BR135" s="281" t="s">
        <v>214</v>
      </c>
      <c r="BS135" s="281" t="s">
        <v>214</v>
      </c>
      <c r="BT135" s="57" t="s">
        <v>215</v>
      </c>
      <c r="BU135" s="53"/>
      <c r="BV135" s="53"/>
      <c r="BW135" s="343"/>
      <c r="BX135" s="59" t="s">
        <v>214</v>
      </c>
      <c r="BY135" s="281" t="s">
        <v>214</v>
      </c>
      <c r="BZ135" s="281" t="s">
        <v>214</v>
      </c>
      <c r="CA135" s="281" t="s">
        <v>214</v>
      </c>
      <c r="CB135" s="281" t="s">
        <v>214</v>
      </c>
      <c r="CC135" s="57" t="s">
        <v>215</v>
      </c>
      <c r="CD135" s="53"/>
      <c r="CE135" s="53"/>
      <c r="CF135" s="343"/>
      <c r="CG135" s="59" t="s">
        <v>214</v>
      </c>
      <c r="CH135" s="281" t="s">
        <v>214</v>
      </c>
      <c r="CI135" s="281" t="s">
        <v>214</v>
      </c>
      <c r="CJ135" s="281" t="s">
        <v>214</v>
      </c>
      <c r="CK135" s="281" t="s">
        <v>214</v>
      </c>
      <c r="CL135" s="57" t="s">
        <v>215</v>
      </c>
      <c r="CM135" s="53"/>
      <c r="CN135" s="53"/>
      <c r="CO135" s="343"/>
      <c r="CP135" s="59" t="s">
        <v>214</v>
      </c>
      <c r="CQ135" s="281" t="s">
        <v>214</v>
      </c>
      <c r="CR135" s="281" t="s">
        <v>214</v>
      </c>
      <c r="CS135" s="281" t="s">
        <v>214</v>
      </c>
      <c r="CT135" s="281" t="s">
        <v>214</v>
      </c>
      <c r="CU135" s="57" t="s">
        <v>215</v>
      </c>
      <c r="CW135" s="53"/>
      <c r="CX135" s="343"/>
      <c r="CY135" s="59" t="s">
        <v>214</v>
      </c>
      <c r="CZ135" s="281" t="s">
        <v>214</v>
      </c>
      <c r="DA135" s="281" t="s">
        <v>214</v>
      </c>
      <c r="DB135" s="281" t="s">
        <v>214</v>
      </c>
      <c r="DC135" s="281" t="s">
        <v>214</v>
      </c>
      <c r="DD135" s="57" t="s">
        <v>215</v>
      </c>
      <c r="DF135" s="53"/>
      <c r="DG135" s="343"/>
      <c r="DH135" s="59" t="s">
        <v>214</v>
      </c>
      <c r="DI135" s="281" t="s">
        <v>214</v>
      </c>
      <c r="DJ135" s="281" t="s">
        <v>214</v>
      </c>
      <c r="DK135" s="281" t="s">
        <v>214</v>
      </c>
      <c r="DL135" s="281" t="s">
        <v>214</v>
      </c>
      <c r="DM135" s="57" t="s">
        <v>215</v>
      </c>
      <c r="DO135" s="53"/>
      <c r="DP135" s="343"/>
      <c r="DQ135" s="59" t="s">
        <v>214</v>
      </c>
      <c r="DR135" s="281" t="s">
        <v>214</v>
      </c>
      <c r="DS135" s="281" t="s">
        <v>214</v>
      </c>
      <c r="DT135" s="281" t="s">
        <v>214</v>
      </c>
      <c r="DU135" s="281" t="s">
        <v>214</v>
      </c>
      <c r="DV135" s="57" t="s">
        <v>215</v>
      </c>
      <c r="DX135" s="53"/>
      <c r="DY135" s="343"/>
      <c r="DZ135" s="59" t="s">
        <v>214</v>
      </c>
      <c r="EA135" s="281" t="s">
        <v>214</v>
      </c>
      <c r="EB135" s="281" t="s">
        <v>214</v>
      </c>
      <c r="EC135" s="281" t="s">
        <v>214</v>
      </c>
      <c r="ED135" s="281" t="s">
        <v>214</v>
      </c>
      <c r="EE135" s="57" t="s">
        <v>215</v>
      </c>
    </row>
    <row r="136" spans="1:135" x14ac:dyDescent="0.3">
      <c r="B136" s="53"/>
      <c r="C136" s="344"/>
      <c r="D136" s="52" t="s">
        <v>215</v>
      </c>
      <c r="E136" s="16" t="s">
        <v>215</v>
      </c>
      <c r="F136" s="55" t="s">
        <v>215</v>
      </c>
      <c r="G136" s="55" t="s">
        <v>215</v>
      </c>
      <c r="H136" s="55" t="s">
        <v>215</v>
      </c>
      <c r="I136" s="54" t="s">
        <v>215</v>
      </c>
      <c r="K136" s="53"/>
      <c r="L136" s="344"/>
      <c r="M136" s="52" t="s">
        <v>215</v>
      </c>
      <c r="N136" s="16" t="s">
        <v>215</v>
      </c>
      <c r="O136" s="55" t="s">
        <v>215</v>
      </c>
      <c r="P136" s="55" t="s">
        <v>215</v>
      </c>
      <c r="Q136" s="55" t="s">
        <v>215</v>
      </c>
      <c r="R136" s="54" t="s">
        <v>215</v>
      </c>
      <c r="T136" s="53"/>
      <c r="U136" s="344"/>
      <c r="V136" s="52" t="s">
        <v>215</v>
      </c>
      <c r="W136" s="16" t="s">
        <v>215</v>
      </c>
      <c r="X136" s="55" t="s">
        <v>215</v>
      </c>
      <c r="Y136" s="55" t="s">
        <v>215</v>
      </c>
      <c r="Z136" s="55" t="s">
        <v>215</v>
      </c>
      <c r="AA136" s="54" t="s">
        <v>215</v>
      </c>
      <c r="AC136" s="53"/>
      <c r="AD136" s="344"/>
      <c r="AE136" s="52" t="s">
        <v>215</v>
      </c>
      <c r="AF136" s="16" t="s">
        <v>215</v>
      </c>
      <c r="AG136" s="55" t="s">
        <v>215</v>
      </c>
      <c r="AH136" s="55" t="s">
        <v>215</v>
      </c>
      <c r="AI136" s="55" t="s">
        <v>215</v>
      </c>
      <c r="AJ136" s="54" t="s">
        <v>215</v>
      </c>
      <c r="AL136" s="53"/>
      <c r="AM136" s="344"/>
      <c r="AN136" s="52" t="s">
        <v>215</v>
      </c>
      <c r="AO136" s="16" t="s">
        <v>215</v>
      </c>
      <c r="AP136" s="55" t="s">
        <v>215</v>
      </c>
      <c r="AQ136" s="55" t="s">
        <v>215</v>
      </c>
      <c r="AR136" s="55" t="s">
        <v>215</v>
      </c>
      <c r="AS136" s="54" t="s">
        <v>215</v>
      </c>
      <c r="AU136" s="53"/>
      <c r="AV136" s="344"/>
      <c r="AW136" s="52" t="s">
        <v>215</v>
      </c>
      <c r="AX136" s="16" t="s">
        <v>215</v>
      </c>
      <c r="AY136" s="55" t="s">
        <v>215</v>
      </c>
      <c r="AZ136" s="55" t="s">
        <v>215</v>
      </c>
      <c r="BA136" s="55" t="s">
        <v>215</v>
      </c>
      <c r="BB136" s="54" t="s">
        <v>215</v>
      </c>
      <c r="BD136" s="53"/>
      <c r="BE136" s="344"/>
      <c r="BF136" s="52" t="s">
        <v>215</v>
      </c>
      <c r="BG136" s="16" t="s">
        <v>215</v>
      </c>
      <c r="BH136" s="55" t="s">
        <v>215</v>
      </c>
      <c r="BI136" s="55" t="s">
        <v>215</v>
      </c>
      <c r="BJ136" s="55" t="s">
        <v>215</v>
      </c>
      <c r="BK136" s="54" t="s">
        <v>215</v>
      </c>
      <c r="BM136" s="53"/>
      <c r="BN136" s="344"/>
      <c r="BO136" s="52" t="s">
        <v>215</v>
      </c>
      <c r="BP136" s="16" t="s">
        <v>215</v>
      </c>
      <c r="BQ136" s="55" t="s">
        <v>215</v>
      </c>
      <c r="BR136" s="55" t="s">
        <v>215</v>
      </c>
      <c r="BS136" s="55" t="s">
        <v>215</v>
      </c>
      <c r="BT136" s="54" t="s">
        <v>215</v>
      </c>
      <c r="BU136" s="53"/>
      <c r="BV136" s="53"/>
      <c r="BW136" s="344"/>
      <c r="BX136" s="52" t="s">
        <v>215</v>
      </c>
      <c r="BY136" s="16" t="s">
        <v>215</v>
      </c>
      <c r="BZ136" s="55" t="s">
        <v>215</v>
      </c>
      <c r="CA136" s="55" t="s">
        <v>215</v>
      </c>
      <c r="CB136" s="55" t="s">
        <v>215</v>
      </c>
      <c r="CC136" s="54" t="s">
        <v>215</v>
      </c>
      <c r="CD136" s="53"/>
      <c r="CE136" s="53"/>
      <c r="CF136" s="344"/>
      <c r="CG136" s="52" t="s">
        <v>215</v>
      </c>
      <c r="CH136" s="16" t="s">
        <v>215</v>
      </c>
      <c r="CI136" s="55" t="s">
        <v>215</v>
      </c>
      <c r="CJ136" s="55" t="s">
        <v>215</v>
      </c>
      <c r="CK136" s="55" t="s">
        <v>215</v>
      </c>
      <c r="CL136" s="54" t="s">
        <v>215</v>
      </c>
      <c r="CM136" s="53"/>
      <c r="CN136" s="53"/>
      <c r="CO136" s="344"/>
      <c r="CP136" s="52" t="s">
        <v>215</v>
      </c>
      <c r="CQ136" s="16" t="s">
        <v>215</v>
      </c>
      <c r="CR136" s="55" t="s">
        <v>215</v>
      </c>
      <c r="CS136" s="55" t="s">
        <v>215</v>
      </c>
      <c r="CT136" s="55" t="s">
        <v>215</v>
      </c>
      <c r="CU136" s="54" t="s">
        <v>215</v>
      </c>
      <c r="CW136" s="53"/>
      <c r="CX136" s="344"/>
      <c r="CY136" s="52" t="s">
        <v>215</v>
      </c>
      <c r="CZ136" s="16" t="s">
        <v>215</v>
      </c>
      <c r="DA136" s="55" t="s">
        <v>215</v>
      </c>
      <c r="DB136" s="55" t="s">
        <v>215</v>
      </c>
      <c r="DC136" s="55" t="s">
        <v>215</v>
      </c>
      <c r="DD136" s="54" t="s">
        <v>215</v>
      </c>
      <c r="DF136" s="53"/>
      <c r="DG136" s="344"/>
      <c r="DH136" s="52" t="s">
        <v>215</v>
      </c>
      <c r="DI136" s="16" t="s">
        <v>215</v>
      </c>
      <c r="DJ136" s="55" t="s">
        <v>215</v>
      </c>
      <c r="DK136" s="55" t="s">
        <v>215</v>
      </c>
      <c r="DL136" s="55" t="s">
        <v>215</v>
      </c>
      <c r="DM136" s="54" t="s">
        <v>215</v>
      </c>
      <c r="DO136" s="53"/>
      <c r="DP136" s="344"/>
      <c r="DQ136" s="52" t="s">
        <v>215</v>
      </c>
      <c r="DR136" s="16" t="s">
        <v>215</v>
      </c>
      <c r="DS136" s="55" t="s">
        <v>215</v>
      </c>
      <c r="DT136" s="55" t="s">
        <v>215</v>
      </c>
      <c r="DU136" s="55" t="s">
        <v>215</v>
      </c>
      <c r="DV136" s="54" t="s">
        <v>215</v>
      </c>
      <c r="DX136" s="53"/>
      <c r="DY136" s="344"/>
      <c r="DZ136" s="52" t="s">
        <v>215</v>
      </c>
      <c r="EA136" s="16" t="s">
        <v>215</v>
      </c>
      <c r="EB136" s="55" t="s">
        <v>215</v>
      </c>
      <c r="EC136" s="55" t="s">
        <v>215</v>
      </c>
      <c r="ED136" s="55" t="s">
        <v>215</v>
      </c>
      <c r="EE136" s="54" t="s">
        <v>215</v>
      </c>
    </row>
    <row r="139" spans="1:135" s="288" customFormat="1" x14ac:dyDescent="0.3">
      <c r="A139" s="347" t="s">
        <v>304</v>
      </c>
      <c r="B139" s="348"/>
    </row>
    <row r="140" spans="1:135" s="53" customFormat="1" x14ac:dyDescent="0.3">
      <c r="A140" s="348"/>
      <c r="B140" s="348"/>
      <c r="U140" s="33"/>
      <c r="V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</row>
    <row r="141" spans="1:135" s="53" customFormat="1" x14ac:dyDescent="0.3">
      <c r="E141" s="40" t="s">
        <v>53</v>
      </c>
      <c r="I141" s="38" t="s">
        <v>72</v>
      </c>
      <c r="N141" s="40" t="s">
        <v>53</v>
      </c>
      <c r="R141" s="38" t="s">
        <v>31</v>
      </c>
      <c r="S141" s="68"/>
      <c r="W141" s="40" t="s">
        <v>53</v>
      </c>
      <c r="AA141" s="38" t="s">
        <v>211</v>
      </c>
      <c r="AC141" s="68"/>
      <c r="AD141" s="69"/>
      <c r="AE141" s="69"/>
      <c r="AF141" s="74" t="s">
        <v>55</v>
      </c>
      <c r="AG141" s="73"/>
      <c r="AH141" s="73"/>
      <c r="AI141" s="73"/>
      <c r="AJ141" s="74" t="s">
        <v>306</v>
      </c>
      <c r="AL141" s="68"/>
      <c r="AM141" s="69"/>
      <c r="AN141" s="69"/>
      <c r="AO141" s="74" t="s">
        <v>55</v>
      </c>
      <c r="AP141" s="73"/>
      <c r="AQ141" s="73"/>
      <c r="AR141" s="73"/>
      <c r="AS141" s="74" t="s">
        <v>56</v>
      </c>
      <c r="AU141" s="33"/>
      <c r="AV141" s="69"/>
      <c r="AW141" s="69"/>
      <c r="AX141" s="144"/>
      <c r="AY141" s="144"/>
      <c r="AZ141" s="144"/>
      <c r="BA141" s="144"/>
      <c r="BB141" s="144"/>
      <c r="BC141" s="33"/>
      <c r="BD141" s="33"/>
      <c r="BE141" s="69"/>
      <c r="BF141" s="69"/>
      <c r="BG141" s="144"/>
      <c r="BH141" s="144"/>
      <c r="BI141" s="144"/>
      <c r="BJ141" s="144"/>
      <c r="BK141" s="144"/>
      <c r="BL141" s="33"/>
      <c r="BM141" s="33"/>
      <c r="BN141" s="33"/>
      <c r="BO141" s="33"/>
      <c r="BP141" s="272"/>
      <c r="BQ141" s="33"/>
      <c r="BR141" s="33"/>
      <c r="BS141" s="33"/>
      <c r="BT141" s="33"/>
    </row>
    <row r="142" spans="1:135" s="53" customFormat="1" ht="15.6" x14ac:dyDescent="0.3">
      <c r="C142" s="14"/>
      <c r="D142" s="66" t="s">
        <v>305</v>
      </c>
      <c r="E142" s="339" t="s">
        <v>23</v>
      </c>
      <c r="F142" s="340"/>
      <c r="G142" s="340"/>
      <c r="H142" s="340"/>
      <c r="I142" s="341"/>
      <c r="L142" s="14"/>
      <c r="M142" s="66" t="s">
        <v>305</v>
      </c>
      <c r="N142" s="339" t="s">
        <v>23</v>
      </c>
      <c r="O142" s="340"/>
      <c r="P142" s="340"/>
      <c r="Q142" s="340"/>
      <c r="R142" s="341"/>
      <c r="S142" s="68"/>
      <c r="U142" s="14"/>
      <c r="V142" s="66" t="s">
        <v>305</v>
      </c>
      <c r="W142" s="339" t="s">
        <v>23</v>
      </c>
      <c r="X142" s="340"/>
      <c r="Y142" s="340"/>
      <c r="Z142" s="340"/>
      <c r="AA142" s="341"/>
      <c r="AC142" s="68"/>
      <c r="AD142" s="69"/>
      <c r="AE142" s="66" t="s">
        <v>305</v>
      </c>
      <c r="AF142" s="339" t="s">
        <v>72</v>
      </c>
      <c r="AG142" s="340"/>
      <c r="AH142" s="340"/>
      <c r="AI142" s="340"/>
      <c r="AJ142" s="341"/>
      <c r="AL142" s="68"/>
      <c r="AM142" s="69"/>
      <c r="AN142" s="66" t="s">
        <v>305</v>
      </c>
      <c r="AO142" s="339" t="s">
        <v>211</v>
      </c>
      <c r="AP142" s="340"/>
      <c r="AQ142" s="340"/>
      <c r="AR142" s="340"/>
      <c r="AS142" s="341"/>
      <c r="AU142" s="33"/>
      <c r="AV142" s="69"/>
      <c r="AW142" s="143"/>
      <c r="AX142" s="273"/>
      <c r="AY142" s="273"/>
      <c r="AZ142" s="273"/>
      <c r="BA142" s="273"/>
      <c r="BB142" s="273"/>
      <c r="BC142" s="33"/>
      <c r="BD142" s="33"/>
      <c r="BE142" s="69"/>
      <c r="BF142" s="143"/>
      <c r="BG142" s="273"/>
      <c r="BH142" s="273"/>
      <c r="BI142" s="273"/>
      <c r="BJ142" s="273"/>
      <c r="BK142" s="273"/>
      <c r="BL142" s="33"/>
      <c r="BM142" s="33"/>
      <c r="BN142" s="69"/>
      <c r="BO142" s="143"/>
      <c r="BP142" s="273"/>
      <c r="BQ142" s="273"/>
      <c r="BR142" s="273"/>
      <c r="BS142" s="273"/>
      <c r="BT142" s="273"/>
    </row>
    <row r="143" spans="1:135" s="53" customFormat="1" x14ac:dyDescent="0.3">
      <c r="C143" s="20" t="s">
        <v>28</v>
      </c>
      <c r="D143" s="13" t="s">
        <v>26</v>
      </c>
      <c r="E143" s="65" t="s">
        <v>3</v>
      </c>
      <c r="F143" s="64" t="s">
        <v>21</v>
      </c>
      <c r="G143" s="295" t="s">
        <v>17</v>
      </c>
      <c r="H143" s="64" t="s">
        <v>268</v>
      </c>
      <c r="I143" s="294" t="s">
        <v>267</v>
      </c>
      <c r="L143" s="20" t="s">
        <v>13</v>
      </c>
      <c r="M143" s="13" t="s">
        <v>26</v>
      </c>
      <c r="N143" s="65" t="s">
        <v>3</v>
      </c>
      <c r="O143" s="64" t="s">
        <v>21</v>
      </c>
      <c r="P143" s="301" t="s">
        <v>17</v>
      </c>
      <c r="Q143" s="64" t="s">
        <v>268</v>
      </c>
      <c r="R143" s="306" t="s">
        <v>267</v>
      </c>
      <c r="S143" s="68"/>
      <c r="U143" s="20" t="s">
        <v>13</v>
      </c>
      <c r="V143" s="13" t="s">
        <v>26</v>
      </c>
      <c r="W143" s="65" t="s">
        <v>3</v>
      </c>
      <c r="X143" s="64" t="s">
        <v>21</v>
      </c>
      <c r="Y143" s="295" t="s">
        <v>17</v>
      </c>
      <c r="Z143" s="64" t="s">
        <v>268</v>
      </c>
      <c r="AA143" s="294" t="s">
        <v>267</v>
      </c>
      <c r="AC143" s="68"/>
      <c r="AD143" s="70"/>
      <c r="AE143" s="67" t="s">
        <v>40</v>
      </c>
      <c r="AF143" s="65" t="s">
        <v>3</v>
      </c>
      <c r="AG143" s="64" t="s">
        <v>21</v>
      </c>
      <c r="AH143" s="295" t="s">
        <v>17</v>
      </c>
      <c r="AI143" s="64" t="s">
        <v>268</v>
      </c>
      <c r="AJ143" s="294" t="s">
        <v>267</v>
      </c>
      <c r="AL143" s="68"/>
      <c r="AM143" s="70"/>
      <c r="AN143" s="67" t="s">
        <v>40</v>
      </c>
      <c r="AO143" s="65" t="s">
        <v>3</v>
      </c>
      <c r="AP143" s="64" t="s">
        <v>21</v>
      </c>
      <c r="AQ143" s="295" t="s">
        <v>17</v>
      </c>
      <c r="AR143" s="64" t="s">
        <v>268</v>
      </c>
      <c r="AS143" s="294" t="s">
        <v>267</v>
      </c>
      <c r="AU143" s="33"/>
      <c r="AV143" s="69"/>
      <c r="AW143" s="145"/>
      <c r="AX143" s="146"/>
      <c r="AY143" s="146"/>
      <c r="AZ143" s="295"/>
      <c r="BA143" s="146"/>
      <c r="BB143" s="295"/>
      <c r="BC143" s="33"/>
      <c r="BD143" s="33"/>
      <c r="BE143" s="69"/>
      <c r="BF143" s="145"/>
      <c r="BG143" s="146"/>
      <c r="BH143" s="146"/>
      <c r="BI143" s="295"/>
      <c r="BJ143" s="146"/>
      <c r="BK143" s="295"/>
      <c r="BL143" s="33"/>
      <c r="BM143" s="33"/>
      <c r="BN143" s="69"/>
      <c r="BO143" s="145"/>
      <c r="BP143" s="146"/>
      <c r="BQ143" s="146"/>
      <c r="BR143" s="146"/>
      <c r="BS143" s="146"/>
      <c r="BT143" s="146"/>
    </row>
    <row r="144" spans="1:135" s="53" customFormat="1" x14ac:dyDescent="0.3">
      <c r="B144" s="41" t="s">
        <v>54</v>
      </c>
      <c r="C144" s="342" t="s">
        <v>56</v>
      </c>
      <c r="D144" s="65" t="s">
        <v>3</v>
      </c>
      <c r="E144" s="18" t="s">
        <v>3</v>
      </c>
      <c r="F144" s="61" t="s">
        <v>21</v>
      </c>
      <c r="G144" s="299" t="s">
        <v>17</v>
      </c>
      <c r="H144" s="61" t="s">
        <v>268</v>
      </c>
      <c r="I144" s="292" t="s">
        <v>267</v>
      </c>
      <c r="K144" s="41" t="s">
        <v>54</v>
      </c>
      <c r="L144" s="342" t="s">
        <v>74</v>
      </c>
      <c r="M144" s="65" t="s">
        <v>3</v>
      </c>
      <c r="N144" s="18" t="s">
        <v>3</v>
      </c>
      <c r="O144" s="61" t="s">
        <v>21</v>
      </c>
      <c r="P144" s="299" t="s">
        <v>17</v>
      </c>
      <c r="Q144" s="61" t="s">
        <v>268</v>
      </c>
      <c r="R144" s="292" t="s">
        <v>267</v>
      </c>
      <c r="T144" s="41" t="s">
        <v>54</v>
      </c>
      <c r="U144" s="342" t="s">
        <v>207</v>
      </c>
      <c r="V144" s="65" t="s">
        <v>3</v>
      </c>
      <c r="W144" s="18" t="s">
        <v>3</v>
      </c>
      <c r="X144" s="61" t="s">
        <v>21</v>
      </c>
      <c r="Y144" s="299" t="s">
        <v>17</v>
      </c>
      <c r="Z144" s="61" t="s">
        <v>268</v>
      </c>
      <c r="AA144" s="292" t="s">
        <v>267</v>
      </c>
      <c r="AC144" s="72" t="s">
        <v>55</v>
      </c>
      <c r="AD144" s="345" t="s">
        <v>31</v>
      </c>
      <c r="AE144" s="65" t="s">
        <v>3</v>
      </c>
      <c r="AF144" s="18" t="s">
        <v>3</v>
      </c>
      <c r="AG144" s="61" t="s">
        <v>21</v>
      </c>
      <c r="AH144" s="299" t="s">
        <v>17</v>
      </c>
      <c r="AI144" s="61" t="s">
        <v>268</v>
      </c>
      <c r="AJ144" s="292" t="s">
        <v>267</v>
      </c>
      <c r="AL144" s="72" t="s">
        <v>55</v>
      </c>
      <c r="AM144" s="345" t="s">
        <v>306</v>
      </c>
      <c r="AN144" s="65" t="s">
        <v>3</v>
      </c>
      <c r="AO144" s="18" t="s">
        <v>3</v>
      </c>
      <c r="AP144" s="61" t="s">
        <v>21</v>
      </c>
      <c r="AQ144" s="299" t="s">
        <v>17</v>
      </c>
      <c r="AR144" s="61" t="s">
        <v>268</v>
      </c>
      <c r="AS144" s="292" t="s">
        <v>267</v>
      </c>
      <c r="AU144" s="71"/>
      <c r="AV144" s="144"/>
      <c r="AW144" s="146"/>
      <c r="AX144" s="71"/>
      <c r="AY144" s="71"/>
      <c r="AZ144" s="295"/>
      <c r="BA144" s="71"/>
      <c r="BB144" s="295"/>
      <c r="BC144" s="33"/>
      <c r="BD144" s="71"/>
      <c r="BE144" s="144"/>
      <c r="BF144" s="146"/>
      <c r="BG144" s="71"/>
      <c r="BH144" s="71"/>
      <c r="BI144" s="295"/>
      <c r="BJ144" s="71"/>
      <c r="BK144" s="295"/>
      <c r="BL144" s="33"/>
      <c r="BM144" s="271"/>
      <c r="BN144" s="147"/>
      <c r="BO144" s="146"/>
      <c r="BP144" s="71"/>
      <c r="BQ144" s="71"/>
      <c r="BR144" s="71"/>
      <c r="BS144" s="71"/>
      <c r="BT144" s="71"/>
    </row>
    <row r="145" spans="3:72" s="53" customFormat="1" x14ac:dyDescent="0.3">
      <c r="C145" s="343"/>
      <c r="D145" s="51" t="s">
        <v>21</v>
      </c>
      <c r="E145" s="17" t="s">
        <v>17</v>
      </c>
      <c r="F145" s="281" t="s">
        <v>17</v>
      </c>
      <c r="G145" s="295" t="s">
        <v>17</v>
      </c>
      <c r="H145" s="281" t="s">
        <v>268</v>
      </c>
      <c r="I145" s="294" t="s">
        <v>267</v>
      </c>
      <c r="L145" s="343"/>
      <c r="M145" s="51" t="s">
        <v>9</v>
      </c>
      <c r="N145" s="17" t="s">
        <v>17</v>
      </c>
      <c r="O145" s="281" t="s">
        <v>17</v>
      </c>
      <c r="P145" s="295" t="s">
        <v>17</v>
      </c>
      <c r="Q145" s="281" t="s">
        <v>268</v>
      </c>
      <c r="R145" s="294" t="s">
        <v>267</v>
      </c>
      <c r="U145" s="343"/>
      <c r="V145" s="51" t="s">
        <v>212</v>
      </c>
      <c r="W145" s="17" t="s">
        <v>17</v>
      </c>
      <c r="X145" s="281" t="s">
        <v>17</v>
      </c>
      <c r="Y145" s="295" t="s">
        <v>17</v>
      </c>
      <c r="Z145" s="281" t="s">
        <v>268</v>
      </c>
      <c r="AA145" s="294" t="s">
        <v>267</v>
      </c>
      <c r="AC145" s="71"/>
      <c r="AD145" s="345"/>
      <c r="AE145" s="51" t="s">
        <v>21</v>
      </c>
      <c r="AF145" s="17" t="s">
        <v>21</v>
      </c>
      <c r="AG145" s="281" t="s">
        <v>21</v>
      </c>
      <c r="AH145" s="295" t="s">
        <v>17</v>
      </c>
      <c r="AI145" s="281" t="s">
        <v>268</v>
      </c>
      <c r="AJ145" s="294" t="s">
        <v>267</v>
      </c>
      <c r="AL145" s="71"/>
      <c r="AM145" s="345"/>
      <c r="AN145" s="51" t="s">
        <v>21</v>
      </c>
      <c r="AO145" s="17" t="s">
        <v>21</v>
      </c>
      <c r="AP145" s="281" t="s">
        <v>21</v>
      </c>
      <c r="AQ145" s="295" t="s">
        <v>17</v>
      </c>
      <c r="AR145" s="281" t="s">
        <v>268</v>
      </c>
      <c r="AS145" s="294" t="s">
        <v>267</v>
      </c>
      <c r="AU145" s="71"/>
      <c r="AV145" s="144"/>
      <c r="AW145" s="146"/>
      <c r="AX145" s="71"/>
      <c r="AY145" s="71"/>
      <c r="AZ145" s="295"/>
      <c r="BA145" s="71"/>
      <c r="BB145" s="295"/>
      <c r="BC145" s="33"/>
      <c r="BD145" s="71"/>
      <c r="BE145" s="144"/>
      <c r="BF145" s="146"/>
      <c r="BG145" s="71"/>
      <c r="BH145" s="71"/>
      <c r="BI145" s="295"/>
      <c r="BJ145" s="71"/>
      <c r="BK145" s="295"/>
      <c r="BL145" s="33"/>
      <c r="BM145" s="33"/>
      <c r="BN145" s="147"/>
      <c r="BO145" s="146"/>
      <c r="BP145" s="71"/>
      <c r="BQ145" s="71"/>
      <c r="BR145" s="71"/>
      <c r="BS145" s="71"/>
      <c r="BT145" s="71"/>
    </row>
    <row r="146" spans="3:72" s="53" customFormat="1" x14ac:dyDescent="0.3">
      <c r="C146" s="343"/>
      <c r="D146" s="295" t="s">
        <v>17</v>
      </c>
      <c r="E146" s="302" t="s">
        <v>268</v>
      </c>
      <c r="F146" s="295" t="s">
        <v>268</v>
      </c>
      <c r="G146" s="295" t="s">
        <v>268</v>
      </c>
      <c r="H146" s="281" t="s">
        <v>268</v>
      </c>
      <c r="I146" s="294" t="s">
        <v>267</v>
      </c>
      <c r="L146" s="343"/>
      <c r="M146" s="51" t="s">
        <v>8</v>
      </c>
      <c r="N146" s="302" t="s">
        <v>268</v>
      </c>
      <c r="O146" s="295" t="s">
        <v>268</v>
      </c>
      <c r="P146" s="295" t="s">
        <v>268</v>
      </c>
      <c r="Q146" s="281" t="s">
        <v>268</v>
      </c>
      <c r="R146" s="294" t="s">
        <v>267</v>
      </c>
      <c r="U146" s="343"/>
      <c r="V146" s="51" t="s">
        <v>213</v>
      </c>
      <c r="W146" s="302" t="s">
        <v>268</v>
      </c>
      <c r="X146" s="295" t="s">
        <v>268</v>
      </c>
      <c r="Y146" s="295" t="s">
        <v>268</v>
      </c>
      <c r="Z146" s="281" t="s">
        <v>268</v>
      </c>
      <c r="AA146" s="294" t="s">
        <v>267</v>
      </c>
      <c r="AD146" s="345"/>
      <c r="AE146" s="295" t="s">
        <v>17</v>
      </c>
      <c r="AF146" s="302" t="s">
        <v>17</v>
      </c>
      <c r="AG146" s="295" t="s">
        <v>17</v>
      </c>
      <c r="AH146" s="295" t="s">
        <v>17</v>
      </c>
      <c r="AI146" s="281" t="s">
        <v>268</v>
      </c>
      <c r="AJ146" s="294" t="s">
        <v>267</v>
      </c>
      <c r="AM146" s="345"/>
      <c r="AN146" s="295" t="s">
        <v>17</v>
      </c>
      <c r="AO146" s="302" t="s">
        <v>17</v>
      </c>
      <c r="AP146" s="295" t="s">
        <v>17</v>
      </c>
      <c r="AQ146" s="295" t="s">
        <v>17</v>
      </c>
      <c r="AR146" s="281" t="s">
        <v>268</v>
      </c>
      <c r="AS146" s="294" t="s">
        <v>267</v>
      </c>
      <c r="AU146" s="33"/>
      <c r="AV146" s="144"/>
      <c r="AW146" s="295"/>
      <c r="AX146" s="295"/>
      <c r="AY146" s="295"/>
      <c r="AZ146" s="295"/>
      <c r="BA146" s="71"/>
      <c r="BB146" s="295"/>
      <c r="BC146" s="33"/>
      <c r="BD146" s="33"/>
      <c r="BE146" s="144"/>
      <c r="BF146" s="295"/>
      <c r="BG146" s="295"/>
      <c r="BH146" s="295"/>
      <c r="BI146" s="295"/>
      <c r="BJ146" s="71"/>
      <c r="BK146" s="295"/>
      <c r="BL146" s="33"/>
      <c r="BM146" s="33"/>
      <c r="BN146" s="147"/>
      <c r="BO146" s="146"/>
      <c r="BP146" s="71"/>
      <c r="BQ146" s="71"/>
      <c r="BR146" s="71"/>
      <c r="BS146" s="71"/>
      <c r="BT146" s="71"/>
    </row>
    <row r="147" spans="3:72" s="53" customFormat="1" x14ac:dyDescent="0.3">
      <c r="C147" s="343"/>
      <c r="D147" s="51" t="s">
        <v>268</v>
      </c>
      <c r="E147" s="302" t="s">
        <v>267</v>
      </c>
      <c r="F147" s="295" t="s">
        <v>267</v>
      </c>
      <c r="G147" s="281" t="s">
        <v>267</v>
      </c>
      <c r="H147" s="281" t="s">
        <v>267</v>
      </c>
      <c r="I147" s="294" t="s">
        <v>267</v>
      </c>
      <c r="L147" s="343"/>
      <c r="M147" s="51" t="s">
        <v>7</v>
      </c>
      <c r="N147" s="302" t="s">
        <v>267</v>
      </c>
      <c r="O147" s="295" t="s">
        <v>267</v>
      </c>
      <c r="P147" s="281" t="s">
        <v>267</v>
      </c>
      <c r="Q147" s="281" t="s">
        <v>267</v>
      </c>
      <c r="R147" s="294" t="s">
        <v>267</v>
      </c>
      <c r="U147" s="343"/>
      <c r="V147" s="51" t="s">
        <v>214</v>
      </c>
      <c r="W147" s="302" t="s">
        <v>267</v>
      </c>
      <c r="X147" s="295" t="s">
        <v>267</v>
      </c>
      <c r="Y147" s="281" t="s">
        <v>267</v>
      </c>
      <c r="Z147" s="281" t="s">
        <v>267</v>
      </c>
      <c r="AA147" s="294" t="s">
        <v>267</v>
      </c>
      <c r="AD147" s="345"/>
      <c r="AE147" s="51" t="s">
        <v>268</v>
      </c>
      <c r="AF147" s="17" t="s">
        <v>268</v>
      </c>
      <c r="AG147" s="281" t="s">
        <v>268</v>
      </c>
      <c r="AH147" s="281" t="s">
        <v>268</v>
      </c>
      <c r="AI147" s="281" t="s">
        <v>268</v>
      </c>
      <c r="AJ147" s="294" t="s">
        <v>267</v>
      </c>
      <c r="AM147" s="345"/>
      <c r="AN147" s="51" t="s">
        <v>268</v>
      </c>
      <c r="AO147" s="17" t="s">
        <v>268</v>
      </c>
      <c r="AP147" s="281" t="s">
        <v>268</v>
      </c>
      <c r="AQ147" s="281" t="s">
        <v>268</v>
      </c>
      <c r="AR147" s="281" t="s">
        <v>268</v>
      </c>
      <c r="AS147" s="294" t="s">
        <v>267</v>
      </c>
      <c r="AU147" s="33"/>
      <c r="AV147" s="144"/>
      <c r="AW147" s="146"/>
      <c r="AX147" s="71"/>
      <c r="AY147" s="71"/>
      <c r="AZ147" s="71"/>
      <c r="BA147" s="71"/>
      <c r="BB147" s="295"/>
      <c r="BC147" s="33"/>
      <c r="BD147" s="33"/>
      <c r="BE147" s="144"/>
      <c r="BF147" s="146"/>
      <c r="BG147" s="71"/>
      <c r="BH147" s="71"/>
      <c r="BI147" s="71"/>
      <c r="BJ147" s="71"/>
      <c r="BK147" s="295"/>
      <c r="BL147" s="33"/>
      <c r="BM147" s="33"/>
      <c r="BN147" s="147"/>
      <c r="BO147" s="146"/>
      <c r="BP147" s="71"/>
      <c r="BQ147" s="71"/>
      <c r="BR147" s="71"/>
      <c r="BS147" s="71"/>
      <c r="BT147" s="71"/>
    </row>
    <row r="148" spans="3:72" s="53" customFormat="1" x14ac:dyDescent="0.3">
      <c r="C148" s="344"/>
      <c r="D148" s="295" t="s">
        <v>267</v>
      </c>
      <c r="E148" s="296" t="s">
        <v>267</v>
      </c>
      <c r="F148" s="297" t="s">
        <v>267</v>
      </c>
      <c r="G148" s="297" t="s">
        <v>267</v>
      </c>
      <c r="H148" s="297" t="s">
        <v>267</v>
      </c>
      <c r="I148" s="298" t="s">
        <v>267</v>
      </c>
      <c r="L148" s="344"/>
      <c r="M148" s="52" t="s">
        <v>271</v>
      </c>
      <c r="N148" s="296" t="s">
        <v>267</v>
      </c>
      <c r="O148" s="297" t="s">
        <v>267</v>
      </c>
      <c r="P148" s="297" t="s">
        <v>267</v>
      </c>
      <c r="Q148" s="297" t="s">
        <v>267</v>
      </c>
      <c r="R148" s="298" t="s">
        <v>267</v>
      </c>
      <c r="U148" s="344"/>
      <c r="V148" s="52" t="s">
        <v>215</v>
      </c>
      <c r="W148" s="296" t="s">
        <v>267</v>
      </c>
      <c r="X148" s="297" t="s">
        <v>267</v>
      </c>
      <c r="Y148" s="297" t="s">
        <v>267</v>
      </c>
      <c r="Z148" s="297" t="s">
        <v>267</v>
      </c>
      <c r="AA148" s="298" t="s">
        <v>267</v>
      </c>
      <c r="AD148" s="346"/>
      <c r="AE148" s="295" t="s">
        <v>267</v>
      </c>
      <c r="AF148" s="296" t="s">
        <v>267</v>
      </c>
      <c r="AG148" s="297" t="s">
        <v>267</v>
      </c>
      <c r="AH148" s="297" t="s">
        <v>267</v>
      </c>
      <c r="AI148" s="297" t="s">
        <v>267</v>
      </c>
      <c r="AJ148" s="298" t="s">
        <v>267</v>
      </c>
      <c r="AM148" s="346"/>
      <c r="AN148" s="295" t="s">
        <v>267</v>
      </c>
      <c r="AO148" s="296" t="s">
        <v>267</v>
      </c>
      <c r="AP148" s="297" t="s">
        <v>267</v>
      </c>
      <c r="AQ148" s="297" t="s">
        <v>267</v>
      </c>
      <c r="AR148" s="297" t="s">
        <v>267</v>
      </c>
      <c r="AS148" s="298" t="s">
        <v>267</v>
      </c>
      <c r="AU148" s="33"/>
      <c r="AV148" s="144"/>
      <c r="AW148" s="295"/>
      <c r="AX148" s="295"/>
      <c r="AY148" s="295"/>
      <c r="AZ148" s="295"/>
      <c r="BA148" s="295"/>
      <c r="BB148" s="295"/>
      <c r="BC148" s="33"/>
      <c r="BD148" s="33"/>
      <c r="BE148" s="144"/>
      <c r="BF148" s="295"/>
      <c r="BG148" s="295"/>
      <c r="BH148" s="295"/>
      <c r="BI148" s="295"/>
      <c r="BJ148" s="295"/>
      <c r="BK148" s="295"/>
      <c r="BL148" s="33"/>
      <c r="BM148" s="33"/>
      <c r="BN148" s="147"/>
      <c r="BO148" s="146"/>
      <c r="BP148" s="71"/>
      <c r="BQ148" s="71"/>
      <c r="BR148" s="71"/>
      <c r="BS148" s="71"/>
      <c r="BT148" s="71"/>
    </row>
  </sheetData>
  <mergeCells count="191">
    <mergeCell ref="CH118:CL118"/>
    <mergeCell ref="CF120:CF124"/>
    <mergeCell ref="CQ118:CU118"/>
    <mergeCell ref="CO120:CO124"/>
    <mergeCell ref="CZ118:DD118"/>
    <mergeCell ref="CX120:CX124"/>
    <mergeCell ref="E130:I130"/>
    <mergeCell ref="C132:C136"/>
    <mergeCell ref="N130:R130"/>
    <mergeCell ref="L132:L136"/>
    <mergeCell ref="W130:AA130"/>
    <mergeCell ref="U132:U136"/>
    <mergeCell ref="AF130:AJ130"/>
    <mergeCell ref="AD132:AD136"/>
    <mergeCell ref="BY118:CC118"/>
    <mergeCell ref="C120:C124"/>
    <mergeCell ref="L120:L124"/>
    <mergeCell ref="U120:U124"/>
    <mergeCell ref="AD120:AD124"/>
    <mergeCell ref="AM120:AM124"/>
    <mergeCell ref="AV120:AV124"/>
    <mergeCell ref="BE120:BE124"/>
    <mergeCell ref="BN120:BN124"/>
    <mergeCell ref="BW120:BW124"/>
    <mergeCell ref="BG118:BK118"/>
    <mergeCell ref="BP118:BT118"/>
    <mergeCell ref="E17:I17"/>
    <mergeCell ref="W41:AA41"/>
    <mergeCell ref="BG29:BK29"/>
    <mergeCell ref="BE31:BE35"/>
    <mergeCell ref="AV55:AV59"/>
    <mergeCell ref="AX53:BB53"/>
    <mergeCell ref="AF53:AJ53"/>
    <mergeCell ref="AO53:AS53"/>
    <mergeCell ref="AM55:AM59"/>
    <mergeCell ref="BG41:BK41"/>
    <mergeCell ref="AO17:AS17"/>
    <mergeCell ref="AD19:AD23"/>
    <mergeCell ref="AM19:AM23"/>
    <mergeCell ref="E118:I118"/>
    <mergeCell ref="N118:R118"/>
    <mergeCell ref="W118:AA118"/>
    <mergeCell ref="AF118:AJ118"/>
    <mergeCell ref="AO118:AS118"/>
    <mergeCell ref="AX118:BB118"/>
    <mergeCell ref="AO29:AS29"/>
    <mergeCell ref="BE43:BE47"/>
    <mergeCell ref="W53:AA53"/>
    <mergeCell ref="C31:C35"/>
    <mergeCell ref="E53:I53"/>
    <mergeCell ref="C55:C59"/>
    <mergeCell ref="E41:I41"/>
    <mergeCell ref="L31:L35"/>
    <mergeCell ref="U43:U47"/>
    <mergeCell ref="N53:R53"/>
    <mergeCell ref="U55:U59"/>
    <mergeCell ref="N41:R41"/>
    <mergeCell ref="C43:C47"/>
    <mergeCell ref="L55:L59"/>
    <mergeCell ref="L43:L47"/>
    <mergeCell ref="U31:U35"/>
    <mergeCell ref="C19:C23"/>
    <mergeCell ref="AF29:AJ29"/>
    <mergeCell ref="N5:R5"/>
    <mergeCell ref="L7:L11"/>
    <mergeCell ref="N17:R17"/>
    <mergeCell ref="L19:L23"/>
    <mergeCell ref="W5:AA5"/>
    <mergeCell ref="U7:U11"/>
    <mergeCell ref="W17:AA17"/>
    <mergeCell ref="U19:U23"/>
    <mergeCell ref="E5:I5"/>
    <mergeCell ref="C7:C11"/>
    <mergeCell ref="E29:I29"/>
    <mergeCell ref="N29:R29"/>
    <mergeCell ref="W29:AA29"/>
    <mergeCell ref="AF17:AJ17"/>
    <mergeCell ref="AF5:AJ5"/>
    <mergeCell ref="AD7:AD11"/>
    <mergeCell ref="AM31:AM35"/>
    <mergeCell ref="AD31:AD35"/>
    <mergeCell ref="AX29:BB29"/>
    <mergeCell ref="AV31:AV35"/>
    <mergeCell ref="AX41:BB41"/>
    <mergeCell ref="AV43:AV47"/>
    <mergeCell ref="AF41:AJ41"/>
    <mergeCell ref="AD43:AD47"/>
    <mergeCell ref="AO41:AS41"/>
    <mergeCell ref="AM43:AM47"/>
    <mergeCell ref="CH66:CL66"/>
    <mergeCell ref="AD95:AD99"/>
    <mergeCell ref="E105:I105"/>
    <mergeCell ref="N80:R80"/>
    <mergeCell ref="AM95:AM99"/>
    <mergeCell ref="BE68:BE72"/>
    <mergeCell ref="N105:R105"/>
    <mergeCell ref="W105:AA105"/>
    <mergeCell ref="L95:L99"/>
    <mergeCell ref="U95:U99"/>
    <mergeCell ref="U82:U86"/>
    <mergeCell ref="CF68:CF72"/>
    <mergeCell ref="E93:I93"/>
    <mergeCell ref="E80:I80"/>
    <mergeCell ref="W80:AA80"/>
    <mergeCell ref="AM82:AM86"/>
    <mergeCell ref="AV68:AV72"/>
    <mergeCell ref="BN68:BN72"/>
    <mergeCell ref="BW68:BW72"/>
    <mergeCell ref="BY53:CC53"/>
    <mergeCell ref="BW55:BW59"/>
    <mergeCell ref="AF93:AJ93"/>
    <mergeCell ref="BP80:BT80"/>
    <mergeCell ref="BN82:BN86"/>
    <mergeCell ref="BG53:BK53"/>
    <mergeCell ref="BE55:BE59"/>
    <mergeCell ref="AF66:AJ66"/>
    <mergeCell ref="AD68:AD72"/>
    <mergeCell ref="AM68:AM72"/>
    <mergeCell ref="BP53:BT53"/>
    <mergeCell ref="BN55:BN59"/>
    <mergeCell ref="BG80:BK80"/>
    <mergeCell ref="AX66:BB66"/>
    <mergeCell ref="BG66:BK66"/>
    <mergeCell ref="BP66:BT66"/>
    <mergeCell ref="BY66:CC66"/>
    <mergeCell ref="BE82:BE86"/>
    <mergeCell ref="AX80:BB80"/>
    <mergeCell ref="AV82:AV86"/>
    <mergeCell ref="AD55:AD59"/>
    <mergeCell ref="C107:C111"/>
    <mergeCell ref="L107:L111"/>
    <mergeCell ref="U107:U111"/>
    <mergeCell ref="C95:C99"/>
    <mergeCell ref="AO66:AS66"/>
    <mergeCell ref="E66:I66"/>
    <mergeCell ref="AO80:AS80"/>
    <mergeCell ref="N93:R93"/>
    <mergeCell ref="AF80:AJ80"/>
    <mergeCell ref="AD82:AD86"/>
    <mergeCell ref="AO93:AS93"/>
    <mergeCell ref="N66:R66"/>
    <mergeCell ref="W66:AA66"/>
    <mergeCell ref="U68:U72"/>
    <mergeCell ref="W93:AA93"/>
    <mergeCell ref="C68:C72"/>
    <mergeCell ref="C82:C86"/>
    <mergeCell ref="L68:L72"/>
    <mergeCell ref="L82:L86"/>
    <mergeCell ref="A77:B78"/>
    <mergeCell ref="A90:B91"/>
    <mergeCell ref="A102:B103"/>
    <mergeCell ref="A115:B116"/>
    <mergeCell ref="A2:B3"/>
    <mergeCell ref="A14:B15"/>
    <mergeCell ref="A26:B27"/>
    <mergeCell ref="A38:B39"/>
    <mergeCell ref="A50:B51"/>
    <mergeCell ref="A63:B64"/>
    <mergeCell ref="CZ130:DD130"/>
    <mergeCell ref="CX132:CX136"/>
    <mergeCell ref="DI130:DM130"/>
    <mergeCell ref="DG132:DG136"/>
    <mergeCell ref="DR130:DV130"/>
    <mergeCell ref="DP132:DP136"/>
    <mergeCell ref="EA130:EE130"/>
    <mergeCell ref="DY132:DY136"/>
    <mergeCell ref="A139:B140"/>
    <mergeCell ref="CQ130:CU130"/>
    <mergeCell ref="BN132:BN136"/>
    <mergeCell ref="BW132:BW136"/>
    <mergeCell ref="CF132:CF136"/>
    <mergeCell ref="CO132:CO136"/>
    <mergeCell ref="AO130:AS130"/>
    <mergeCell ref="AM132:AM136"/>
    <mergeCell ref="AX130:BB130"/>
    <mergeCell ref="AV132:AV136"/>
    <mergeCell ref="BG130:BK130"/>
    <mergeCell ref="BE132:BE136"/>
    <mergeCell ref="BP130:BT130"/>
    <mergeCell ref="BY130:CC130"/>
    <mergeCell ref="CH130:CL130"/>
    <mergeCell ref="E142:I142"/>
    <mergeCell ref="N142:R142"/>
    <mergeCell ref="W142:AA142"/>
    <mergeCell ref="AF142:AJ142"/>
    <mergeCell ref="AO142:AS142"/>
    <mergeCell ref="C144:C148"/>
    <mergeCell ref="L144:L148"/>
    <mergeCell ref="U144:U148"/>
    <mergeCell ref="AD144:AD148"/>
    <mergeCell ref="AM144:AM148"/>
  </mergeCells>
  <phoneticPr fontId="28" type="noConversion"/>
  <conditionalFormatting sqref="N31:R35 AL31:AL32">
    <cfRule type="containsText" dxfId="1128" priority="1668" operator="containsText" text="LossData">
      <formula>NOT(ISERROR(SEARCH("LossData",N31)))</formula>
    </cfRule>
    <cfRule type="containsText" dxfId="1127" priority="1669" operator="containsText" text="MajorDelay">
      <formula>NOT(ISERROR(SEARCH("MajorDelay",N31)))</formula>
    </cfRule>
    <cfRule type="containsText" dxfId="1126" priority="1670" operator="containsText" text="DataCorrupt">
      <formula>NOT(ISERROR(SEARCH("DataCorrupt",N31)))</formula>
    </cfRule>
    <cfRule type="containsText" dxfId="1125" priority="1671" operator="containsText" text="MinorDelay">
      <formula>NOT(ISERROR(SEARCH("MinorDelay",N31)))</formula>
    </cfRule>
    <cfRule type="containsText" dxfId="1124" priority="1672" operator="containsText" text="Working">
      <formula>NOT(ISERROR(SEARCH("Working",N31)))</formula>
    </cfRule>
  </conditionalFormatting>
  <conditionalFormatting sqref="E43:I47">
    <cfRule type="containsText" dxfId="1123" priority="1667" operator="containsText" text="Working">
      <formula>NOT(ISERROR(SEARCH("Working",E43)))</formula>
    </cfRule>
  </conditionalFormatting>
  <conditionalFormatting sqref="N43:R47">
    <cfRule type="containsText" dxfId="1122" priority="1658" operator="containsText" text="LossMech">
      <formula>NOT(ISERROR(SEARCH("LossMech",N43)))</formula>
    </cfRule>
    <cfRule type="containsText" dxfId="1121" priority="1659" operator="containsText" text="HazardMech">
      <formula>NOT(ISERROR(SEARCH("HazardMech",N43)))</formula>
    </cfRule>
    <cfRule type="containsText" dxfId="1120" priority="1660" operator="containsText" text="MajorMech">
      <formula>NOT(ISERROR(SEARCH("MajorMech",N43)))</formula>
    </cfRule>
    <cfRule type="containsText" dxfId="1119" priority="1661" operator="containsText" text="MinorMech">
      <formula>NOT(ISERROR(SEARCH("MinorMech",N43)))</formula>
    </cfRule>
    <cfRule type="containsText" dxfId="1118" priority="1662" operator="containsText" text="Working">
      <formula>NOT(ISERROR(SEARCH("Working",N43)))</formula>
    </cfRule>
  </conditionalFormatting>
  <conditionalFormatting sqref="E55:I59">
    <cfRule type="containsText" dxfId="1117" priority="1647" operator="containsText" text="Working">
      <formula>NOT(ISERROR(SEARCH("Working",E55)))</formula>
    </cfRule>
  </conditionalFormatting>
  <conditionalFormatting sqref="W43:AA47">
    <cfRule type="containsText" dxfId="1116" priority="1553" operator="containsText" text="LossMech">
      <formula>NOT(ISERROR(SEARCH("LossMech",W43)))</formula>
    </cfRule>
    <cfRule type="containsText" dxfId="1115" priority="1554" operator="containsText" text="HazardMech">
      <formula>NOT(ISERROR(SEARCH("HazardMech",W43)))</formula>
    </cfRule>
    <cfRule type="containsText" dxfId="1114" priority="1555" operator="containsText" text="MajorMech">
      <formula>NOT(ISERROR(SEARCH("MajorMech",W43)))</formula>
    </cfRule>
    <cfRule type="containsText" dxfId="1113" priority="1556" operator="containsText" text="MinorMech">
      <formula>NOT(ISERROR(SEARCH("MinorMech",W43)))</formula>
    </cfRule>
    <cfRule type="containsText" dxfId="1112" priority="1557" operator="containsText" text="Working">
      <formula>NOT(ISERROR(SEARCH("Working",W43)))</formula>
    </cfRule>
  </conditionalFormatting>
  <conditionalFormatting sqref="AO31:AS35">
    <cfRule type="containsText" dxfId="1111" priority="1543" operator="containsText" text="LossData">
      <formula>NOT(ISERROR(SEARCH("LossData",AO31)))</formula>
    </cfRule>
    <cfRule type="containsText" dxfId="1110" priority="1544" operator="containsText" text="MajorDelay">
      <formula>NOT(ISERROR(SEARCH("MajorDelay",AO31)))</formula>
    </cfRule>
    <cfRule type="containsText" dxfId="1109" priority="1545" operator="containsText" text="DataCorrupt">
      <formula>NOT(ISERROR(SEARCH("DataCorrupt",AO31)))</formula>
    </cfRule>
    <cfRule type="containsText" dxfId="1108" priority="1546" operator="containsText" text="MinorDelay">
      <formula>NOT(ISERROR(SEARCH("MinorDelay",AO31)))</formula>
    </cfRule>
    <cfRule type="containsText" dxfId="1107" priority="1547" operator="containsText" text="Working">
      <formula>NOT(ISERROR(SEARCH("Working",AO31)))</formula>
    </cfRule>
  </conditionalFormatting>
  <conditionalFormatting sqref="T43">
    <cfRule type="containsText" dxfId="1106" priority="1443" operator="containsText" text="LossData">
      <formula>NOT(ISERROR(SEARCH("LossData",T43)))</formula>
    </cfRule>
    <cfRule type="containsText" dxfId="1105" priority="1444" operator="containsText" text="MajorDelay">
      <formula>NOT(ISERROR(SEARCH("MajorDelay",T43)))</formula>
    </cfRule>
    <cfRule type="containsText" dxfId="1104" priority="1445" operator="containsText" text="DataCorrupt">
      <formula>NOT(ISERROR(SEARCH("DataCorrupt",T43)))</formula>
    </cfRule>
    <cfRule type="containsText" dxfId="1103" priority="1446" operator="containsText" text="MinorDelay">
      <formula>NOT(ISERROR(SEARCH("MinorDelay",T43)))</formula>
    </cfRule>
    <cfRule type="containsText" dxfId="1102" priority="1447" operator="containsText" text="Working">
      <formula>NOT(ISERROR(SEARCH("Working",T43)))</formula>
    </cfRule>
  </conditionalFormatting>
  <conditionalFormatting sqref="E95:I99">
    <cfRule type="containsText" dxfId="1101" priority="1508" operator="containsText" text="LossData">
      <formula>NOT(ISERROR(SEARCH("LossData",E95)))</formula>
    </cfRule>
    <cfRule type="containsText" dxfId="1100" priority="1509" operator="containsText" text="MajorDelay">
      <formula>NOT(ISERROR(SEARCH("MajorDelay",E95)))</formula>
    </cfRule>
    <cfRule type="containsText" dxfId="1099" priority="1510" operator="containsText" text="DataCorrupt">
      <formula>NOT(ISERROR(SEARCH("DataCorrupt",E95)))</formula>
    </cfRule>
    <cfRule type="containsText" dxfId="1098" priority="1511" operator="containsText" text="MinorDelay">
      <formula>NOT(ISERROR(SEARCH("MinorDelay",E95)))</formula>
    </cfRule>
    <cfRule type="containsText" dxfId="1097" priority="1512" operator="containsText" text="Working">
      <formula>NOT(ISERROR(SEARCH("Working",E95)))</formula>
    </cfRule>
  </conditionalFormatting>
  <conditionalFormatting sqref="N95:R99">
    <cfRule type="containsText" dxfId="1096" priority="1503" operator="containsText" text="LossData">
      <formula>NOT(ISERROR(SEARCH("LossData",N95)))</formula>
    </cfRule>
    <cfRule type="containsText" dxfId="1095" priority="1504" operator="containsText" text="MajorDelay">
      <formula>NOT(ISERROR(SEARCH("MajorDelay",N95)))</formula>
    </cfRule>
    <cfRule type="containsText" dxfId="1094" priority="1505" operator="containsText" text="DataCorrupt">
      <formula>NOT(ISERROR(SEARCH("DataCorrupt",N95)))</formula>
    </cfRule>
    <cfRule type="containsText" dxfId="1093" priority="1506" operator="containsText" text="MinorDelay">
      <formula>NOT(ISERROR(SEARCH("MinorDelay",N95)))</formula>
    </cfRule>
    <cfRule type="containsText" dxfId="1092" priority="1507" operator="containsText" text="Working">
      <formula>NOT(ISERROR(SEARCH("Working",N95)))</formula>
    </cfRule>
  </conditionalFormatting>
  <conditionalFormatting sqref="AF95:AJ99">
    <cfRule type="containsText" dxfId="1091" priority="1498" operator="containsText" text="LossData">
      <formula>NOT(ISERROR(SEARCH("LossData",AF95)))</formula>
    </cfRule>
    <cfRule type="containsText" dxfId="1090" priority="1499" operator="containsText" text="MajorDelay">
      <formula>NOT(ISERROR(SEARCH("MajorDelay",AF95)))</formula>
    </cfRule>
    <cfRule type="containsText" dxfId="1089" priority="1500" operator="containsText" text="DataCorrupt">
      <formula>NOT(ISERROR(SEARCH("DataCorrupt",AF95)))</formula>
    </cfRule>
    <cfRule type="containsText" dxfId="1088" priority="1501" operator="containsText" text="MinorDelay">
      <formula>NOT(ISERROR(SEARCH("MinorDelay",AF95)))</formula>
    </cfRule>
    <cfRule type="containsText" dxfId="1087" priority="1502" operator="containsText" text="Working">
      <formula>NOT(ISERROR(SEARCH("Working",AF95)))</formula>
    </cfRule>
  </conditionalFormatting>
  <conditionalFormatting sqref="BB40">
    <cfRule type="containsText" dxfId="1086" priority="1428" operator="containsText" text="LossData">
      <formula>NOT(ISERROR(SEARCH("LossData",BB40)))</formula>
    </cfRule>
    <cfRule type="containsText" dxfId="1085" priority="1429" operator="containsText" text="MajorDelay">
      <formula>NOT(ISERROR(SEARCH("MajorDelay",BB40)))</formula>
    </cfRule>
    <cfRule type="containsText" dxfId="1084" priority="1430" operator="containsText" text="DataCorrupt">
      <formula>NOT(ISERROR(SEARCH("DataCorrupt",BB40)))</formula>
    </cfRule>
    <cfRule type="containsText" dxfId="1083" priority="1431" operator="containsText" text="MinorDelay">
      <formula>NOT(ISERROR(SEARCH("MinorDelay",BB40)))</formula>
    </cfRule>
    <cfRule type="containsText" dxfId="1082" priority="1432" operator="containsText" text="Working">
      <formula>NOT(ISERROR(SEARCH("Working",BB40)))</formula>
    </cfRule>
  </conditionalFormatting>
  <conditionalFormatting sqref="AX43:BB47">
    <cfRule type="containsText" dxfId="1081" priority="1488" operator="containsText" text="LossMech">
      <formula>NOT(ISERROR(SEARCH("LossMech",AX43)))</formula>
    </cfRule>
    <cfRule type="containsText" dxfId="1080" priority="1489" operator="containsText" text="HazardMech">
      <formula>NOT(ISERROR(SEARCH("HazardMech",AX43)))</formula>
    </cfRule>
    <cfRule type="containsText" dxfId="1079" priority="1490" operator="containsText" text="MajorMech">
      <formula>NOT(ISERROR(SEARCH("MajorMech",AX43)))</formula>
    </cfRule>
    <cfRule type="containsText" dxfId="1078" priority="1491" operator="containsText" text="MinorMech">
      <formula>NOT(ISERROR(SEARCH("MinorMech",AX43)))</formula>
    </cfRule>
    <cfRule type="containsText" dxfId="1077" priority="1492" operator="containsText" text="Working">
      <formula>NOT(ISERROR(SEARCH("Working",AX43)))</formula>
    </cfRule>
  </conditionalFormatting>
  <conditionalFormatting sqref="BG43:BK47">
    <cfRule type="containsText" dxfId="1076" priority="1483" operator="containsText" text="LossMech">
      <formula>NOT(ISERROR(SEARCH("LossMech",BG43)))</formula>
    </cfRule>
    <cfRule type="containsText" dxfId="1075" priority="1484" operator="containsText" text="HazardMech">
      <formula>NOT(ISERROR(SEARCH("HazardMech",BG43)))</formula>
    </cfRule>
    <cfRule type="containsText" dxfId="1074" priority="1485" operator="containsText" text="MajorMech">
      <formula>NOT(ISERROR(SEARCH("MajorMech",BG43)))</formula>
    </cfRule>
    <cfRule type="containsText" dxfId="1073" priority="1486" operator="containsText" text="MinorMech">
      <formula>NOT(ISERROR(SEARCH("MinorMech",BG43)))</formula>
    </cfRule>
    <cfRule type="containsText" dxfId="1072" priority="1487" operator="containsText" text="Working">
      <formula>NOT(ISERROR(SEARCH("Working",BG43)))</formula>
    </cfRule>
  </conditionalFormatting>
  <conditionalFormatting sqref="K43">
    <cfRule type="containsText" dxfId="1071" priority="1448" operator="containsText" text="LossData">
      <formula>NOT(ISERROR(SEARCH("LossData",K43)))</formula>
    </cfRule>
    <cfRule type="containsText" dxfId="1070" priority="1449" operator="containsText" text="MajorDelay">
      <formula>NOT(ISERROR(SEARCH("MajorDelay",K43)))</formula>
    </cfRule>
    <cfRule type="containsText" dxfId="1069" priority="1450" operator="containsText" text="DataCorrupt">
      <formula>NOT(ISERROR(SEARCH("DataCorrupt",K43)))</formula>
    </cfRule>
    <cfRule type="containsText" dxfId="1068" priority="1451" operator="containsText" text="MinorDelay">
      <formula>NOT(ISERROR(SEARCH("MinorDelay",K43)))</formula>
    </cfRule>
    <cfRule type="containsText" dxfId="1067" priority="1452" operator="containsText" text="Working">
      <formula>NOT(ISERROR(SEARCH("Working",K43)))</formula>
    </cfRule>
  </conditionalFormatting>
  <conditionalFormatting sqref="AU43">
    <cfRule type="containsText" dxfId="1066" priority="1438" operator="containsText" text="LossData">
      <formula>NOT(ISERROR(SEARCH("LossData",AU43)))</formula>
    </cfRule>
    <cfRule type="containsText" dxfId="1065" priority="1439" operator="containsText" text="MajorDelay">
      <formula>NOT(ISERROR(SEARCH("MajorDelay",AU43)))</formula>
    </cfRule>
    <cfRule type="containsText" dxfId="1064" priority="1440" operator="containsText" text="DataCorrupt">
      <formula>NOT(ISERROR(SEARCH("DataCorrupt",AU43)))</formula>
    </cfRule>
    <cfRule type="containsText" dxfId="1063" priority="1441" operator="containsText" text="MinorDelay">
      <formula>NOT(ISERROR(SEARCH("MinorDelay",AU43)))</formula>
    </cfRule>
    <cfRule type="containsText" dxfId="1062" priority="1442" operator="containsText" text="Working">
      <formula>NOT(ISERROR(SEARCH("Working",AU43)))</formula>
    </cfRule>
  </conditionalFormatting>
  <conditionalFormatting sqref="AX40">
    <cfRule type="containsText" dxfId="1061" priority="1433" operator="containsText" text="LossData">
      <formula>NOT(ISERROR(SEARCH("LossData",AX40)))</formula>
    </cfRule>
    <cfRule type="containsText" dxfId="1060" priority="1434" operator="containsText" text="MajorDelay">
      <formula>NOT(ISERROR(SEARCH("MajorDelay",AX40)))</formula>
    </cfRule>
    <cfRule type="containsText" dxfId="1059" priority="1435" operator="containsText" text="DataCorrupt">
      <formula>NOT(ISERROR(SEARCH("DataCorrupt",AX40)))</formula>
    </cfRule>
    <cfRule type="containsText" dxfId="1058" priority="1436" operator="containsText" text="MinorDelay">
      <formula>NOT(ISERROR(SEARCH("MinorDelay",AX40)))</formula>
    </cfRule>
    <cfRule type="containsText" dxfId="1057" priority="1437" operator="containsText" text="Working">
      <formula>NOT(ISERROR(SEARCH("Working",AX40)))</formula>
    </cfRule>
  </conditionalFormatting>
  <conditionalFormatting sqref="BD43">
    <cfRule type="containsText" dxfId="1056" priority="1423" operator="containsText" text="LossData">
      <formula>NOT(ISERROR(SEARCH("LossData",BD43)))</formula>
    </cfRule>
    <cfRule type="containsText" dxfId="1055" priority="1424" operator="containsText" text="MajorDelay">
      <formula>NOT(ISERROR(SEARCH("MajorDelay",BD43)))</formula>
    </cfRule>
    <cfRule type="containsText" dxfId="1054" priority="1425" operator="containsText" text="DataCorrupt">
      <formula>NOT(ISERROR(SEARCH("DataCorrupt",BD43)))</formula>
    </cfRule>
    <cfRule type="containsText" dxfId="1053" priority="1426" operator="containsText" text="MinorDelay">
      <formula>NOT(ISERROR(SEARCH("MinorDelay",BD43)))</formula>
    </cfRule>
    <cfRule type="containsText" dxfId="1052" priority="1427" operator="containsText" text="Working">
      <formula>NOT(ISERROR(SEARCH("Working",BD43)))</formula>
    </cfRule>
  </conditionalFormatting>
  <conditionalFormatting sqref="BK40">
    <cfRule type="containsText" dxfId="1051" priority="1413" operator="containsText" text="LossData">
      <formula>NOT(ISERROR(SEARCH("LossData",BK40)))</formula>
    </cfRule>
    <cfRule type="containsText" dxfId="1050" priority="1414" operator="containsText" text="MajorDelay">
      <formula>NOT(ISERROR(SEARCH("MajorDelay",BK40)))</formula>
    </cfRule>
    <cfRule type="containsText" dxfId="1049" priority="1415" operator="containsText" text="DataCorrupt">
      <formula>NOT(ISERROR(SEARCH("DataCorrupt",BK40)))</formula>
    </cfRule>
    <cfRule type="containsText" dxfId="1048" priority="1416" operator="containsText" text="MinorDelay">
      <formula>NOT(ISERROR(SEARCH("MinorDelay",BK40)))</formula>
    </cfRule>
    <cfRule type="containsText" dxfId="1047" priority="1417" operator="containsText" text="Working">
      <formula>NOT(ISERROR(SEARCH("Working",BK40)))</formula>
    </cfRule>
  </conditionalFormatting>
  <conditionalFormatting sqref="BG40">
    <cfRule type="containsText" dxfId="1046" priority="1418" operator="containsText" text="LossData">
      <formula>NOT(ISERROR(SEARCH("LossData",BG40)))</formula>
    </cfRule>
    <cfRule type="containsText" dxfId="1045" priority="1419" operator="containsText" text="MajorDelay">
      <formula>NOT(ISERROR(SEARCH("MajorDelay",BG40)))</formula>
    </cfRule>
    <cfRule type="containsText" dxfId="1044" priority="1420" operator="containsText" text="DataCorrupt">
      <formula>NOT(ISERROR(SEARCH("DataCorrupt",BG40)))</formula>
    </cfRule>
    <cfRule type="containsText" dxfId="1043" priority="1421" operator="containsText" text="MinorDelay">
      <formula>NOT(ISERROR(SEARCH("MinorDelay",BG40)))</formula>
    </cfRule>
    <cfRule type="containsText" dxfId="1042" priority="1422" operator="containsText" text="Working">
      <formula>NOT(ISERROR(SEARCH("Working",BG40)))</formula>
    </cfRule>
  </conditionalFormatting>
  <conditionalFormatting sqref="AX55:BB59">
    <cfRule type="containsText" dxfId="1041" priority="1408" operator="containsText" text="HazardTemp">
      <formula>NOT(ISERROR(SEARCH("HazardTemp",AX55)))</formula>
    </cfRule>
    <cfRule type="containsText" dxfId="1040" priority="1409" operator="containsText" text="LossTemp">
      <formula>NOT(ISERROR(SEARCH("LossTemp",AX55)))</formula>
    </cfRule>
    <cfRule type="containsText" dxfId="1039" priority="1410" operator="containsText" text="MajorTemp">
      <formula>NOT(ISERROR(SEARCH("MajorTemp",AX55)))</formula>
    </cfRule>
    <cfRule type="containsText" dxfId="1038" priority="1411" operator="containsText" text="MinorTemp">
      <formula>NOT(ISERROR(SEARCH("MinorTemp",AX55)))</formula>
    </cfRule>
    <cfRule type="containsText" dxfId="1037" priority="1412" operator="containsText" text="Working">
      <formula>NOT(ISERROR(SEARCH("Working",AX55)))</formula>
    </cfRule>
  </conditionalFormatting>
  <conditionalFormatting sqref="E68 E72:H72 I68:I72 H70:H71 G71">
    <cfRule type="containsText" dxfId="1036" priority="1378" operator="containsText" text="LossMech">
      <formula>NOT(ISERROR(SEARCH("LossMech",E68)))</formula>
    </cfRule>
    <cfRule type="containsText" dxfId="1035" priority="1379" operator="containsText" text="HazardMech">
      <formula>NOT(ISERROR(SEARCH("HazardMech",E68)))</formula>
    </cfRule>
    <cfRule type="containsText" dxfId="1034" priority="1380" operator="containsText" text="MajorMech">
      <formula>NOT(ISERROR(SEARCH("MajorMech",E68)))</formula>
    </cfRule>
    <cfRule type="containsText" dxfId="1033" priority="1381" operator="containsText" text="MinorMech">
      <formula>NOT(ISERROR(SEARCH("MinorMech",E68)))</formula>
    </cfRule>
    <cfRule type="containsText" dxfId="1032" priority="1382" operator="containsText" text="Working">
      <formula>NOT(ISERROR(SEARCH("Working",E68)))</formula>
    </cfRule>
  </conditionalFormatting>
  <conditionalFormatting sqref="N55:R59">
    <cfRule type="containsText" dxfId="1031" priority="1353" operator="containsText" text="HazardTemp">
      <formula>NOT(ISERROR(SEARCH("HazardTemp",N55)))</formula>
    </cfRule>
    <cfRule type="containsText" dxfId="1030" priority="1354" operator="containsText" text="LossTemp">
      <formula>NOT(ISERROR(SEARCH("LossTemp",N55)))</formula>
    </cfRule>
    <cfRule type="containsText" dxfId="1029" priority="1355" operator="containsText" text="MajorTemp">
      <formula>NOT(ISERROR(SEARCH("MajorTemp",N55)))</formula>
    </cfRule>
    <cfRule type="containsText" dxfId="1028" priority="1356" operator="containsText" text="MinorTemp">
      <formula>NOT(ISERROR(SEARCH("MinorTemp",N55)))</formula>
    </cfRule>
    <cfRule type="containsText" dxfId="1027" priority="1357" operator="containsText" text="Working">
      <formula>NOT(ISERROR(SEARCH("Working",N55)))</formula>
    </cfRule>
  </conditionalFormatting>
  <conditionalFormatting sqref="W55:AA59">
    <cfRule type="containsText" dxfId="1026" priority="1348" operator="containsText" text="HazardTemp">
      <formula>NOT(ISERROR(SEARCH("HazardTemp",W55)))</formula>
    </cfRule>
    <cfRule type="containsText" dxfId="1025" priority="1349" operator="containsText" text="LossTemp">
      <formula>NOT(ISERROR(SEARCH("LossTemp",W55)))</formula>
    </cfRule>
    <cfRule type="containsText" dxfId="1024" priority="1350" operator="containsText" text="MajorTemp">
      <formula>NOT(ISERROR(SEARCH("MajorTemp",W55)))</formula>
    </cfRule>
    <cfRule type="containsText" dxfId="1023" priority="1351" operator="containsText" text="MinorTemp">
      <formula>NOT(ISERROR(SEARCH("MinorTemp",W55)))</formula>
    </cfRule>
    <cfRule type="containsText" dxfId="1022" priority="1352" operator="containsText" text="Working">
      <formula>NOT(ISERROR(SEARCH("Working",W55)))</formula>
    </cfRule>
  </conditionalFormatting>
  <conditionalFormatting sqref="AF55:AJ59">
    <cfRule type="containsText" dxfId="1021" priority="1343" operator="containsText" text="HazardTemp">
      <formula>NOT(ISERROR(SEARCH("HazardTemp",AF55)))</formula>
    </cfRule>
    <cfRule type="containsText" dxfId="1020" priority="1344" operator="containsText" text="LossTemp">
      <formula>NOT(ISERROR(SEARCH("LossTemp",AF55)))</formula>
    </cfRule>
    <cfRule type="containsText" dxfId="1019" priority="1345" operator="containsText" text="MajorTemp">
      <formula>NOT(ISERROR(SEARCH("MajorTemp",AF55)))</formula>
    </cfRule>
    <cfRule type="containsText" dxfId="1018" priority="1346" operator="containsText" text="MinorTemp">
      <formula>NOT(ISERROR(SEARCH("MinorTemp",AF55)))</formula>
    </cfRule>
    <cfRule type="containsText" dxfId="1017" priority="1347" operator="containsText" text="Working">
      <formula>NOT(ISERROR(SEARCH("Working",AF55)))</formula>
    </cfRule>
  </conditionalFormatting>
  <conditionalFormatting sqref="AO55:AS59">
    <cfRule type="containsText" dxfId="1016" priority="1338" operator="containsText" text="HazardTemp">
      <formula>NOT(ISERROR(SEARCH("HazardTemp",AO55)))</formula>
    </cfRule>
    <cfRule type="containsText" dxfId="1015" priority="1339" stopIfTrue="1" operator="containsText" text="LossTemp">
      <formula>NOT(ISERROR(SEARCH("LossTemp",AO55)))</formula>
    </cfRule>
    <cfRule type="containsText" dxfId="1014" priority="1340" operator="containsText" text="MajorTemp">
      <formula>NOT(ISERROR(SEARCH("MajorTemp",AO55)))</formula>
    </cfRule>
    <cfRule type="containsText" dxfId="1013" priority="1341" operator="containsText" text="MinorTemp">
      <formula>NOT(ISERROR(SEARCH("MinorTemp",AO55)))</formula>
    </cfRule>
    <cfRule type="containsText" dxfId="1012" priority="1342" operator="containsText" text="Working">
      <formula>NOT(ISERROR(SEARCH("Working",AO55)))</formula>
    </cfRule>
  </conditionalFormatting>
  <conditionalFormatting sqref="E69:F69 F68">
    <cfRule type="containsText" dxfId="1011" priority="1333" operator="containsText" text="LossMech">
      <formula>NOT(ISERROR(SEARCH("LossMech",E68)))</formula>
    </cfRule>
    <cfRule type="containsText" dxfId="1010" priority="1334" operator="containsText" text="HazardMech">
      <formula>NOT(ISERROR(SEARCH("HazardMech",E68)))</formula>
    </cfRule>
    <cfRule type="containsText" dxfId="1009" priority="1335" operator="containsText" text="MajorMech">
      <formula>NOT(ISERROR(SEARCH("MajorMech",E68)))</formula>
    </cfRule>
    <cfRule type="containsText" dxfId="1008" priority="1336" operator="containsText" text="MinorMech">
      <formula>NOT(ISERROR(SEARCH("MinorMech",E68)))</formula>
    </cfRule>
    <cfRule type="containsText" dxfId="1007" priority="1337" operator="containsText" text="Working">
      <formula>NOT(ISERROR(SEARCH("Working",E68)))</formula>
    </cfRule>
  </conditionalFormatting>
  <conditionalFormatting sqref="E70:F70 G68:G70">
    <cfRule type="containsText" dxfId="1006" priority="1328" operator="containsText" text="LossMech">
      <formula>NOT(ISERROR(SEARCH("LossMech",E68)))</formula>
    </cfRule>
    <cfRule type="containsText" dxfId="1005" priority="1329" operator="containsText" text="HazardMech">
      <formula>NOT(ISERROR(SEARCH("HazardMech",E68)))</formula>
    </cfRule>
    <cfRule type="containsText" dxfId="1004" priority="1330" operator="containsText" text="MajorMech">
      <formula>NOT(ISERROR(SEARCH("MajorMech",E68)))</formula>
    </cfRule>
    <cfRule type="containsText" dxfId="1003" priority="1331" operator="containsText" text="MinorMech">
      <formula>NOT(ISERROR(SEARCH("MinorMech",E68)))</formula>
    </cfRule>
    <cfRule type="containsText" dxfId="1002" priority="1332" operator="containsText" text="Working">
      <formula>NOT(ISERROR(SEARCH("Working",E68)))</formula>
    </cfRule>
  </conditionalFormatting>
  <conditionalFormatting sqref="H68:H71 E71:G71">
    <cfRule type="containsText" dxfId="1001" priority="1323" operator="containsText" text="LossMech">
      <formula>NOT(ISERROR(SEARCH("LossMech",E68)))</formula>
    </cfRule>
    <cfRule type="containsText" dxfId="1000" priority="1324" operator="containsText" text="HazardMech">
      <formula>NOT(ISERROR(SEARCH("HazardMech",E68)))</formula>
    </cfRule>
    <cfRule type="containsText" dxfId="999" priority="1325" operator="containsText" text="MajorMech">
      <formula>NOT(ISERROR(SEARCH("MajorMech",E68)))</formula>
    </cfRule>
    <cfRule type="containsText" dxfId="998" priority="1326" operator="containsText" text="MinorMech">
      <formula>NOT(ISERROR(SEARCH("MinorMech",E68)))</formula>
    </cfRule>
    <cfRule type="containsText" dxfId="997" priority="1327" operator="containsText" text="Working">
      <formula>NOT(ISERROR(SEARCH("Working",E68)))</formula>
    </cfRule>
  </conditionalFormatting>
  <conditionalFormatting sqref="W107:AA111">
    <cfRule type="containsText" dxfId="996" priority="1188" operator="containsText" text="LossMech">
      <formula>NOT(ISERROR(SEARCH("LossMech",W107)))</formula>
    </cfRule>
    <cfRule type="containsText" dxfId="995" priority="1189" operator="containsText" text="HazardMech">
      <formula>NOT(ISERROR(SEARCH("HazardMech",W107)))</formula>
    </cfRule>
    <cfRule type="containsText" dxfId="994" priority="1190" operator="containsText" text="MajorMech">
      <formula>NOT(ISERROR(SEARCH("MajorMech",W107)))</formula>
    </cfRule>
    <cfRule type="containsText" dxfId="993" priority="1191" operator="containsText" text="MinorMech">
      <formula>NOT(ISERROR(SEARCH("MinorMech",W107)))</formula>
    </cfRule>
    <cfRule type="containsText" dxfId="992" priority="1192" operator="containsText" text="Working">
      <formula>NOT(ISERROR(SEARCH("Working",W107)))</formula>
    </cfRule>
  </conditionalFormatting>
  <conditionalFormatting sqref="BM31">
    <cfRule type="containsText" dxfId="991" priority="1288" operator="containsText" text="LossData">
      <formula>NOT(ISERROR(SEARCH("LossData",BM31)))</formula>
    </cfRule>
    <cfRule type="containsText" dxfId="990" priority="1289" operator="containsText" text="MajorDelay">
      <formula>NOT(ISERROR(SEARCH("MajorDelay",BM31)))</formula>
    </cfRule>
    <cfRule type="containsText" dxfId="989" priority="1290" operator="containsText" text="DataCorrupt">
      <formula>NOT(ISERROR(SEARCH("DataCorrupt",BM31)))</formula>
    </cfRule>
    <cfRule type="containsText" dxfId="988" priority="1291" operator="containsText" text="MinorDelay">
      <formula>NOT(ISERROR(SEARCH("MinorDelay",BM31)))</formula>
    </cfRule>
    <cfRule type="containsText" dxfId="987" priority="1292" operator="containsText" text="Working">
      <formula>NOT(ISERROR(SEARCH("Working",BM31)))</formula>
    </cfRule>
  </conditionalFormatting>
  <conditionalFormatting sqref="BP31:BT35">
    <cfRule type="containsText" dxfId="986" priority="1283" operator="containsText" text="LossData">
      <formula>NOT(ISERROR(SEARCH("LossData",BP31)))</formula>
    </cfRule>
    <cfRule type="containsText" dxfId="985" priority="1284" operator="containsText" text="MajorDelay">
      <formula>NOT(ISERROR(SEARCH("MajorDelay",BP31)))</formula>
    </cfRule>
    <cfRule type="containsText" dxfId="984" priority="1285" operator="containsText" text="DataCorrupt">
      <formula>NOT(ISERROR(SEARCH("DataCorrupt",BP31)))</formula>
    </cfRule>
    <cfRule type="containsText" dxfId="983" priority="1286" operator="containsText" text="MinorDelay">
      <formula>NOT(ISERROR(SEARCH("MinorDelay",BP31)))</formula>
    </cfRule>
    <cfRule type="containsText" dxfId="982" priority="1287" operator="containsText" text="Working">
      <formula>NOT(ISERROR(SEARCH("Working",BP31)))</formula>
    </cfRule>
  </conditionalFormatting>
  <conditionalFormatting sqref="BG31:BK35">
    <cfRule type="containsText" dxfId="981" priority="1228" operator="containsText" text="LossData">
      <formula>NOT(ISERROR(SEARCH("LossData",BG31)))</formula>
    </cfRule>
    <cfRule type="containsText" dxfId="980" priority="1229" operator="containsText" text="MajorDelay">
      <formula>NOT(ISERROR(SEARCH("MajorDelay",BG31)))</formula>
    </cfRule>
    <cfRule type="containsText" dxfId="979" priority="1230" operator="containsText" text="DataCorrupt">
      <formula>NOT(ISERROR(SEARCH("DataCorrupt",BG31)))</formula>
    </cfRule>
    <cfRule type="containsText" dxfId="978" priority="1231" operator="containsText" text="MinorDelay">
      <formula>NOT(ISERROR(SEARCH("MinorDelay",BG31)))</formula>
    </cfRule>
    <cfRule type="containsText" dxfId="977" priority="1232" operator="containsText" text="Working">
      <formula>NOT(ISERROR(SEARCH("Working",BG31)))</formula>
    </cfRule>
  </conditionalFormatting>
  <conditionalFormatting sqref="BD31:BD32">
    <cfRule type="containsText" dxfId="976" priority="1233" operator="containsText" text="LossData">
      <formula>NOT(ISERROR(SEARCH("LossData",BD31)))</formula>
    </cfRule>
    <cfRule type="containsText" dxfId="975" priority="1234" operator="containsText" text="MajorDelay">
      <formula>NOT(ISERROR(SEARCH("MajorDelay",BD31)))</formula>
    </cfRule>
    <cfRule type="containsText" dxfId="974" priority="1235" operator="containsText" text="DataCorrupt">
      <formula>NOT(ISERROR(SEARCH("DataCorrupt",BD31)))</formula>
    </cfRule>
    <cfRule type="containsText" dxfId="973" priority="1236" operator="containsText" text="MinorDelay">
      <formula>NOT(ISERROR(SEARCH("MinorDelay",BD31)))</formula>
    </cfRule>
    <cfRule type="containsText" dxfId="972" priority="1237" operator="containsText" text="Working">
      <formula>NOT(ISERROR(SEARCH("Working",BD31)))</formula>
    </cfRule>
  </conditionalFormatting>
  <conditionalFormatting sqref="T31">
    <cfRule type="containsText" dxfId="971" priority="1253" operator="containsText" text="LossData">
      <formula>NOT(ISERROR(SEARCH("LossData",T31)))</formula>
    </cfRule>
    <cfRule type="containsText" dxfId="970" priority="1254" operator="containsText" text="MajorDelay">
      <formula>NOT(ISERROR(SEARCH("MajorDelay",T31)))</formula>
    </cfRule>
    <cfRule type="containsText" dxfId="969" priority="1255" operator="containsText" text="DataCorrupt">
      <formula>NOT(ISERROR(SEARCH("DataCorrupt",T31)))</formula>
    </cfRule>
    <cfRule type="containsText" dxfId="968" priority="1256" operator="containsText" text="MinorDelay">
      <formula>NOT(ISERROR(SEARCH("MinorDelay",T31)))</formula>
    </cfRule>
    <cfRule type="containsText" dxfId="967" priority="1257" operator="containsText" text="Working">
      <formula>NOT(ISERROR(SEARCH("Working",T31)))</formula>
    </cfRule>
  </conditionalFormatting>
  <conditionalFormatting sqref="W31:AA35">
    <cfRule type="containsText" dxfId="966" priority="1248" operator="containsText" text="LossData">
      <formula>NOT(ISERROR(SEARCH("LossData",W31)))</formula>
    </cfRule>
    <cfRule type="containsText" dxfId="965" priority="1249" operator="containsText" text="MajorDelay">
      <formula>NOT(ISERROR(SEARCH("MajorDelay",W31)))</formula>
    </cfRule>
    <cfRule type="containsText" dxfId="964" priority="1250" operator="containsText" text="DataCorrupt">
      <formula>NOT(ISERROR(SEARCH("DataCorrupt",W31)))</formula>
    </cfRule>
    <cfRule type="containsText" dxfId="963" priority="1251" operator="containsText" text="MinorDelay">
      <formula>NOT(ISERROR(SEARCH("MinorDelay",W31)))</formula>
    </cfRule>
    <cfRule type="containsText" dxfId="962" priority="1252" operator="containsText" text="Working">
      <formula>NOT(ISERROR(SEARCH("Working",W31)))</formula>
    </cfRule>
  </conditionalFormatting>
  <conditionalFormatting sqref="T107">
    <cfRule type="containsText" dxfId="961" priority="1183" operator="containsText" text="LossData">
      <formula>NOT(ISERROR(SEARCH("LossData",T107)))</formula>
    </cfRule>
    <cfRule type="containsText" dxfId="960" priority="1184" operator="containsText" text="MajorDelay">
      <formula>NOT(ISERROR(SEARCH("MajorDelay",T107)))</formula>
    </cfRule>
    <cfRule type="containsText" dxfId="959" priority="1185" operator="containsText" text="DataCorrupt">
      <formula>NOT(ISERROR(SEARCH("DataCorrupt",T107)))</formula>
    </cfRule>
    <cfRule type="containsText" dxfId="958" priority="1186" operator="containsText" text="MinorDelay">
      <formula>NOT(ISERROR(SEARCH("MinorDelay",T107)))</formula>
    </cfRule>
    <cfRule type="containsText" dxfId="957" priority="1187" operator="containsText" text="Working">
      <formula>NOT(ISERROR(SEARCH("Working",T107)))</formula>
    </cfRule>
  </conditionalFormatting>
  <conditionalFormatting sqref="W104">
    <cfRule type="containsText" dxfId="956" priority="1178" operator="containsText" text="LossData">
      <formula>NOT(ISERROR(SEARCH("LossData",W104)))</formula>
    </cfRule>
    <cfRule type="containsText" dxfId="955" priority="1179" operator="containsText" text="MajorDelay">
      <formula>NOT(ISERROR(SEARCH("MajorDelay",W104)))</formula>
    </cfRule>
    <cfRule type="containsText" dxfId="954" priority="1180" operator="containsText" text="DataCorrupt">
      <formula>NOT(ISERROR(SEARCH("DataCorrupt",W104)))</formula>
    </cfRule>
    <cfRule type="containsText" dxfId="953" priority="1181" operator="containsText" text="MinorDelay">
      <formula>NOT(ISERROR(SEARCH("MinorDelay",W104)))</formula>
    </cfRule>
    <cfRule type="containsText" dxfId="952" priority="1182" operator="containsText" text="Working">
      <formula>NOT(ISERROR(SEARCH("Working",W104)))</formula>
    </cfRule>
  </conditionalFormatting>
  <conditionalFormatting sqref="AF68:AJ72">
    <cfRule type="containsText" dxfId="951" priority="1222" operator="containsText" text="Working">
      <formula>NOT(ISERROR(SEARCH("Working",AF68)))</formula>
    </cfRule>
  </conditionalFormatting>
  <conditionalFormatting sqref="BP55:BT59">
    <cfRule type="containsText" dxfId="950" priority="1203" operator="containsText" text="HazardTemp">
      <formula>NOT(ISERROR(SEARCH("HazardTemp",BP55)))</formula>
    </cfRule>
    <cfRule type="containsText" dxfId="949" priority="1204" operator="containsText" text="LossTemp">
      <formula>NOT(ISERROR(SEARCH("LossTemp",BP55)))</formula>
    </cfRule>
    <cfRule type="containsText" dxfId="948" priority="1205" operator="containsText" text="MajorTemp">
      <formula>NOT(ISERROR(SEARCH("MajorTemp",BP55)))</formula>
    </cfRule>
    <cfRule type="containsText" dxfId="947" priority="1206" operator="containsText" text="MinorTemp">
      <formula>NOT(ISERROR(SEARCH("MinorTemp",BP55)))</formula>
    </cfRule>
    <cfRule type="containsText" dxfId="946" priority="1207" operator="containsText" text="Working">
      <formula>NOT(ISERROR(SEARCH("Working",BP55)))</formula>
    </cfRule>
  </conditionalFormatting>
  <conditionalFormatting sqref="E107:I111">
    <cfRule type="containsText" dxfId="945" priority="1198" operator="containsText" text="LossMech">
      <formula>NOT(ISERROR(SEARCH("LossMech",E107)))</formula>
    </cfRule>
    <cfRule type="containsText" dxfId="944" priority="1199" operator="containsText" text="HazardMech">
      <formula>NOT(ISERROR(SEARCH("HazardMech",E107)))</formula>
    </cfRule>
    <cfRule type="containsText" dxfId="943" priority="1200" operator="containsText" text="MajorMech">
      <formula>NOT(ISERROR(SEARCH("MajorMech",E107)))</formula>
    </cfRule>
    <cfRule type="containsText" dxfId="942" priority="1201" operator="containsText" text="MinorMech">
      <formula>NOT(ISERROR(SEARCH("MinorMech",E107)))</formula>
    </cfRule>
    <cfRule type="containsText" dxfId="941" priority="1202" operator="containsText" text="Working">
      <formula>NOT(ISERROR(SEARCH("Working",E107)))</formula>
    </cfRule>
  </conditionalFormatting>
  <conditionalFormatting sqref="N107:R111">
    <cfRule type="containsText" dxfId="940" priority="1193" operator="containsText" text="LossMech">
      <formula>NOT(ISERROR(SEARCH("LossMech",N107)))</formula>
    </cfRule>
    <cfRule type="containsText" dxfId="939" priority="1194" operator="containsText" text="HazardMech">
      <formula>NOT(ISERROR(SEARCH("HazardMech",N107)))</formula>
    </cfRule>
    <cfRule type="containsText" dxfId="938" priority="1195" operator="containsText" text="MajorMech">
      <formula>NOT(ISERROR(SEARCH("MajorMech",N107)))</formula>
    </cfRule>
    <cfRule type="containsText" dxfId="937" priority="1196" operator="containsText" text="MinorMech">
      <formula>NOT(ISERROR(SEARCH("MinorMech",N107)))</formula>
    </cfRule>
    <cfRule type="containsText" dxfId="936" priority="1197" operator="containsText" text="Working">
      <formula>NOT(ISERROR(SEARCH("Working",N107)))</formula>
    </cfRule>
  </conditionalFormatting>
  <conditionalFormatting sqref="AA104">
    <cfRule type="containsText" dxfId="935" priority="1173" operator="containsText" text="LossData">
      <formula>NOT(ISERROR(SEARCH("LossData",AA104)))</formula>
    </cfRule>
    <cfRule type="containsText" dxfId="934" priority="1174" operator="containsText" text="MajorDelay">
      <formula>NOT(ISERROR(SEARCH("MajorDelay",AA104)))</formula>
    </cfRule>
    <cfRule type="containsText" dxfId="933" priority="1175" operator="containsText" text="DataCorrupt">
      <formula>NOT(ISERROR(SEARCH("DataCorrupt",AA104)))</formula>
    </cfRule>
    <cfRule type="containsText" dxfId="932" priority="1176" operator="containsText" text="MinorDelay">
      <formula>NOT(ISERROR(SEARCH("MinorDelay",AA104)))</formula>
    </cfRule>
    <cfRule type="containsText" dxfId="931" priority="1177" operator="containsText" text="Working">
      <formula>NOT(ISERROR(SEARCH("Working",AA104)))</formula>
    </cfRule>
  </conditionalFormatting>
  <conditionalFormatting sqref="AC31">
    <cfRule type="containsText" dxfId="930" priority="1168" operator="containsText" text="LossData">
      <formula>NOT(ISERROR(SEARCH("LossData",AC31)))</formula>
    </cfRule>
    <cfRule type="containsText" dxfId="929" priority="1169" operator="containsText" text="MajorDelay">
      <formula>NOT(ISERROR(SEARCH("MajorDelay",AC31)))</formula>
    </cfRule>
    <cfRule type="containsText" dxfId="928" priority="1170" operator="containsText" text="DataCorrupt">
      <formula>NOT(ISERROR(SEARCH("DataCorrupt",AC31)))</formula>
    </cfRule>
    <cfRule type="containsText" dxfId="927" priority="1171" operator="containsText" text="MinorDelay">
      <formula>NOT(ISERROR(SEARCH("MinorDelay",AC31)))</formula>
    </cfRule>
    <cfRule type="containsText" dxfId="926" priority="1172" operator="containsText" text="Working">
      <formula>NOT(ISERROR(SEARCH("Working",AC31)))</formula>
    </cfRule>
  </conditionalFormatting>
  <conditionalFormatting sqref="AF31:AJ35">
    <cfRule type="containsText" dxfId="925" priority="1163" operator="containsText" text="LossData">
      <formula>NOT(ISERROR(SEARCH("LossData",AF31)))</formula>
    </cfRule>
    <cfRule type="containsText" dxfId="924" priority="1164" operator="containsText" text="MajorDelay">
      <formula>NOT(ISERROR(SEARCH("MajorDelay",AF31)))</formula>
    </cfRule>
    <cfRule type="containsText" dxfId="923" priority="1165" operator="containsText" text="DataCorrupt">
      <formula>NOT(ISERROR(SEARCH("DataCorrupt",AF31)))</formula>
    </cfRule>
    <cfRule type="containsText" dxfId="922" priority="1166" operator="containsText" text="MinorDelay">
      <formula>NOT(ISERROR(SEARCH("MinorDelay",AF31)))</formula>
    </cfRule>
    <cfRule type="containsText" dxfId="921" priority="1167" operator="containsText" text="Working">
      <formula>NOT(ISERROR(SEARCH("Working",AF31)))</formula>
    </cfRule>
  </conditionalFormatting>
  <conditionalFormatting sqref="AU31:AU32">
    <cfRule type="containsText" dxfId="920" priority="1158" operator="containsText" text="LossData">
      <formula>NOT(ISERROR(SEARCH("LossData",AU31)))</formula>
    </cfRule>
    <cfRule type="containsText" dxfId="919" priority="1159" operator="containsText" text="MajorDelay">
      <formula>NOT(ISERROR(SEARCH("MajorDelay",AU31)))</formula>
    </cfRule>
    <cfRule type="containsText" dxfId="918" priority="1160" operator="containsText" text="DataCorrupt">
      <formula>NOT(ISERROR(SEARCH("DataCorrupt",AU31)))</formula>
    </cfRule>
    <cfRule type="containsText" dxfId="917" priority="1161" operator="containsText" text="MinorDelay">
      <formula>NOT(ISERROR(SEARCH("MinorDelay",AU31)))</formula>
    </cfRule>
    <cfRule type="containsText" dxfId="916" priority="1162" operator="containsText" text="Working">
      <formula>NOT(ISERROR(SEARCH("Working",AU31)))</formula>
    </cfRule>
  </conditionalFormatting>
  <conditionalFormatting sqref="AX31:BB35">
    <cfRule type="containsText" dxfId="915" priority="1153" operator="containsText" text="LossData">
      <formula>NOT(ISERROR(SEARCH("LossData",AX31)))</formula>
    </cfRule>
    <cfRule type="containsText" dxfId="914" priority="1154" operator="containsText" text="MajorDelay">
      <formula>NOT(ISERROR(SEARCH("MajorDelay",AX31)))</formula>
    </cfRule>
    <cfRule type="containsText" dxfId="913" priority="1155" operator="containsText" text="DataCorrupt">
      <formula>NOT(ISERROR(SEARCH("DataCorrupt",AX31)))</formula>
    </cfRule>
    <cfRule type="containsText" dxfId="912" priority="1156" operator="containsText" text="MinorDelay">
      <formula>NOT(ISERROR(SEARCH("MinorDelay",AX31)))</formula>
    </cfRule>
    <cfRule type="containsText" dxfId="911" priority="1157" operator="containsText" text="Working">
      <formula>NOT(ISERROR(SEARCH("Working",AX31)))</formula>
    </cfRule>
  </conditionalFormatting>
  <conditionalFormatting sqref="AF43:AJ47">
    <cfRule type="containsText" dxfId="910" priority="1148" operator="containsText" text="LossMech">
      <formula>NOT(ISERROR(SEARCH("LossMech",AF43)))</formula>
    </cfRule>
    <cfRule type="containsText" dxfId="909" priority="1149" operator="containsText" text="HazardMech">
      <formula>NOT(ISERROR(SEARCH("HazardMech",AF43)))</formula>
    </cfRule>
    <cfRule type="containsText" dxfId="908" priority="1150" operator="containsText" text="MajorMech">
      <formula>NOT(ISERROR(SEARCH("MajorMech",AF43)))</formula>
    </cfRule>
    <cfRule type="containsText" dxfId="907" priority="1151" operator="containsText" text="MinorMech">
      <formula>NOT(ISERROR(SEARCH("MinorMech",AF43)))</formula>
    </cfRule>
    <cfRule type="containsText" dxfId="906" priority="1152" operator="containsText" text="Working">
      <formula>NOT(ISERROR(SEARCH("Working",AF43)))</formula>
    </cfRule>
  </conditionalFormatting>
  <conditionalFormatting sqref="AC43">
    <cfRule type="containsText" dxfId="905" priority="1143" operator="containsText" text="LossData">
      <formula>NOT(ISERROR(SEARCH("LossData",AC43)))</formula>
    </cfRule>
    <cfRule type="containsText" dxfId="904" priority="1144" operator="containsText" text="MajorDelay">
      <formula>NOT(ISERROR(SEARCH("MajorDelay",AC43)))</formula>
    </cfRule>
    <cfRule type="containsText" dxfId="903" priority="1145" operator="containsText" text="DataCorrupt">
      <formula>NOT(ISERROR(SEARCH("DataCorrupt",AC43)))</formula>
    </cfRule>
    <cfRule type="containsText" dxfId="902" priority="1146" operator="containsText" text="MinorDelay">
      <formula>NOT(ISERROR(SEARCH("MinorDelay",AC43)))</formula>
    </cfRule>
    <cfRule type="containsText" dxfId="901" priority="1147" operator="containsText" text="Working">
      <formula>NOT(ISERROR(SEARCH("Working",AC43)))</formula>
    </cfRule>
  </conditionalFormatting>
  <conditionalFormatting sqref="AS40">
    <cfRule type="containsText" dxfId="900" priority="1123" operator="containsText" text="LossData">
      <formula>NOT(ISERROR(SEARCH("LossData",AS40)))</formula>
    </cfRule>
    <cfRule type="containsText" dxfId="899" priority="1124" operator="containsText" text="MajorDelay">
      <formula>NOT(ISERROR(SEARCH("MajorDelay",AS40)))</formula>
    </cfRule>
    <cfRule type="containsText" dxfId="898" priority="1125" operator="containsText" text="DataCorrupt">
      <formula>NOT(ISERROR(SEARCH("DataCorrupt",AS40)))</formula>
    </cfRule>
    <cfRule type="containsText" dxfId="897" priority="1126" operator="containsText" text="MinorDelay">
      <formula>NOT(ISERROR(SEARCH("MinorDelay",AS40)))</formula>
    </cfRule>
    <cfRule type="containsText" dxfId="896" priority="1127" operator="containsText" text="Working">
      <formula>NOT(ISERROR(SEARCH("Working",AS40)))</formula>
    </cfRule>
  </conditionalFormatting>
  <conditionalFormatting sqref="AO43:AS47">
    <cfRule type="containsText" dxfId="895" priority="1138" operator="containsText" text="LossMech">
      <formula>NOT(ISERROR(SEARCH("LossMech",AO43)))</formula>
    </cfRule>
    <cfRule type="containsText" dxfId="894" priority="1139" operator="containsText" text="HazardMech">
      <formula>NOT(ISERROR(SEARCH("HazardMech",AO43)))</formula>
    </cfRule>
    <cfRule type="containsText" dxfId="893" priority="1140" operator="containsText" text="MajorMech">
      <formula>NOT(ISERROR(SEARCH("MajorMech",AO43)))</formula>
    </cfRule>
    <cfRule type="containsText" dxfId="892" priority="1141" operator="containsText" text="MinorMech">
      <formula>NOT(ISERROR(SEARCH("MinorMech",AO43)))</formula>
    </cfRule>
    <cfRule type="containsText" dxfId="891" priority="1142" operator="containsText" text="Working">
      <formula>NOT(ISERROR(SEARCH("Working",AO43)))</formula>
    </cfRule>
  </conditionalFormatting>
  <conditionalFormatting sqref="AL43">
    <cfRule type="containsText" dxfId="890" priority="1133" operator="containsText" text="LossData">
      <formula>NOT(ISERROR(SEARCH("LossData",AL43)))</formula>
    </cfRule>
    <cfRule type="containsText" dxfId="889" priority="1134" operator="containsText" text="MajorDelay">
      <formula>NOT(ISERROR(SEARCH("MajorDelay",AL43)))</formula>
    </cfRule>
    <cfRule type="containsText" dxfId="888" priority="1135" operator="containsText" text="DataCorrupt">
      <formula>NOT(ISERROR(SEARCH("DataCorrupt",AL43)))</formula>
    </cfRule>
    <cfRule type="containsText" dxfId="887" priority="1136" operator="containsText" text="MinorDelay">
      <formula>NOT(ISERROR(SEARCH("MinorDelay",AL43)))</formula>
    </cfRule>
    <cfRule type="containsText" dxfId="886" priority="1137" operator="containsText" text="Working">
      <formula>NOT(ISERROR(SEARCH("Working",AL43)))</formula>
    </cfRule>
  </conditionalFormatting>
  <conditionalFormatting sqref="AO40">
    <cfRule type="containsText" dxfId="885" priority="1128" operator="containsText" text="LossData">
      <formula>NOT(ISERROR(SEARCH("LossData",AO40)))</formula>
    </cfRule>
    <cfRule type="containsText" dxfId="884" priority="1129" operator="containsText" text="MajorDelay">
      <formula>NOT(ISERROR(SEARCH("MajorDelay",AO40)))</formula>
    </cfRule>
    <cfRule type="containsText" dxfId="883" priority="1130" operator="containsText" text="DataCorrupt">
      <formula>NOT(ISERROR(SEARCH("DataCorrupt",AO40)))</formula>
    </cfRule>
    <cfRule type="containsText" dxfId="882" priority="1131" operator="containsText" text="MinorDelay">
      <formula>NOT(ISERROR(SEARCH("MinorDelay",AO40)))</formula>
    </cfRule>
    <cfRule type="containsText" dxfId="881" priority="1132" operator="containsText" text="Working">
      <formula>NOT(ISERROR(SEARCH("Working",AO40)))</formula>
    </cfRule>
  </conditionalFormatting>
  <conditionalFormatting sqref="W95:AA99">
    <cfRule type="containsText" dxfId="880" priority="1108" operator="containsText" text="LossData">
      <formula>NOT(ISERROR(SEARCH("LossData",W95)))</formula>
    </cfRule>
    <cfRule type="containsText" dxfId="879" priority="1109" operator="containsText" text="MajorDelay">
      <formula>NOT(ISERROR(SEARCH("MajorDelay",W95)))</formula>
    </cfRule>
    <cfRule type="containsText" dxfId="878" priority="1110" operator="containsText" text="DataCorrupt">
      <formula>NOT(ISERROR(SEARCH("DataCorrupt",W95)))</formula>
    </cfRule>
    <cfRule type="containsText" dxfId="877" priority="1111" operator="containsText" text="MinorDelay">
      <formula>NOT(ISERROR(SEARCH("MinorDelay",W95)))</formula>
    </cfRule>
    <cfRule type="containsText" dxfId="876" priority="1112" operator="containsText" text="Working">
      <formula>NOT(ISERROR(SEARCH("Working",W95)))</formula>
    </cfRule>
  </conditionalFormatting>
  <conditionalFormatting sqref="AO95:AS99">
    <cfRule type="containsText" dxfId="875" priority="1103" operator="containsText" text="LossData">
      <formula>NOT(ISERROR(SEARCH("LossData",AO95)))</formula>
    </cfRule>
    <cfRule type="containsText" dxfId="874" priority="1104" operator="containsText" text="MajorDelay">
      <formula>NOT(ISERROR(SEARCH("MajorDelay",AO95)))</formula>
    </cfRule>
    <cfRule type="containsText" dxfId="873" priority="1105" operator="containsText" text="DataCorrupt">
      <formula>NOT(ISERROR(SEARCH("DataCorrupt",AO95)))</formula>
    </cfRule>
    <cfRule type="containsText" dxfId="872" priority="1106" operator="containsText" text="MinorDelay">
      <formula>NOT(ISERROR(SEARCH("MinorDelay",AO95)))</formula>
    </cfRule>
    <cfRule type="containsText" dxfId="871" priority="1107" operator="containsText" text="Working">
      <formula>NOT(ISERROR(SEARCH("Working",AO95)))</formula>
    </cfRule>
  </conditionalFormatting>
  <conditionalFormatting sqref="N7:R11">
    <cfRule type="containsText" dxfId="870" priority="1098" operator="containsText" text="LossElec">
      <formula>NOT(ISERROR(SEARCH("LossElec",N7)))</formula>
    </cfRule>
    <cfRule type="containsText" dxfId="869" priority="1099" operator="containsText" text="HazardElec">
      <formula>NOT(ISERROR(SEARCH("HazardElec",N7)))</formula>
    </cfRule>
    <cfRule type="containsText" dxfId="868" priority="1100" operator="containsText" text="MajorElec">
      <formula>NOT(ISERROR(SEARCH("MajorElec",N7)))</formula>
    </cfRule>
    <cfRule type="containsText" dxfId="867" priority="1101" operator="containsText" text="MinorElec">
      <formula>NOT(ISERROR(SEARCH("MinorElec",N7)))</formula>
    </cfRule>
    <cfRule type="containsText" dxfId="866" priority="1102" operator="containsText" text="Working">
      <formula>NOT(ISERROR(SEARCH("Working",N7)))</formula>
    </cfRule>
  </conditionalFormatting>
  <conditionalFormatting sqref="W7:AA11">
    <cfRule type="containsText" dxfId="865" priority="1088" operator="containsText" text="LossElec">
      <formula>NOT(ISERROR(SEARCH("LossElec",W7)))</formula>
    </cfRule>
    <cfRule type="containsText" dxfId="864" priority="1089" operator="containsText" text="HazardElec">
      <formula>NOT(ISERROR(SEARCH("HazardElec",W7)))</formula>
    </cfRule>
    <cfRule type="containsText" dxfId="863" priority="1090" operator="containsText" text="MajorElec">
      <formula>NOT(ISERROR(SEARCH("MajorElec",W7)))</formula>
    </cfRule>
    <cfRule type="containsText" dxfId="862" priority="1091" operator="containsText" text="MinorElec">
      <formula>NOT(ISERROR(SEARCH("MinorElec",W7)))</formula>
    </cfRule>
    <cfRule type="containsText" dxfId="861" priority="1092" operator="containsText" text="Working">
      <formula>NOT(ISERROR(SEARCH("Working",W7)))</formula>
    </cfRule>
  </conditionalFormatting>
  <conditionalFormatting sqref="BY55:CC59">
    <cfRule type="containsText" dxfId="860" priority="1073" operator="containsText" text="HazardVibra">
      <formula>NOT(ISERROR(SEARCH("HazardVibra",BY55)))</formula>
    </cfRule>
    <cfRule type="containsText" dxfId="859" priority="1074" operator="containsText" text="CatasVibra">
      <formula>NOT(ISERROR(SEARCH("CatasVibra",BY55)))</formula>
    </cfRule>
    <cfRule type="containsText" dxfId="858" priority="1075" operator="containsText" text="MajorVibra">
      <formula>NOT(ISERROR(SEARCH("MajorVibra",BY55)))</formula>
    </cfRule>
    <cfRule type="containsText" dxfId="857" priority="1076" operator="containsText" text="MinorVibra">
      <formula>NOT(ISERROR(SEARCH("MinorVibra",BY55)))</formula>
    </cfRule>
    <cfRule type="containsText" dxfId="856" priority="1077" operator="containsText" text="Working">
      <formula>NOT(ISERROR(SEARCH("Working",BY55)))</formula>
    </cfRule>
  </conditionalFormatting>
  <conditionalFormatting sqref="BG55:BK59">
    <cfRule type="containsText" dxfId="855" priority="1068" operator="containsText" text="HazardVibra">
      <formula>NOT(ISERROR(SEARCH("HazardVibra",BG55)))</formula>
    </cfRule>
    <cfRule type="containsText" dxfId="854" priority="1069" operator="containsText" text="CatasVibra">
      <formula>NOT(ISERROR(SEARCH("CatasVibra",BG55)))</formula>
    </cfRule>
    <cfRule type="containsText" dxfId="853" priority="1070" operator="containsText" text="MajorVibra">
      <formula>NOT(ISERROR(SEARCH("MajorVibra",BG55)))</formula>
    </cfRule>
    <cfRule type="containsText" dxfId="852" priority="1071" operator="containsText" text="MinorVibra">
      <formula>NOT(ISERROR(SEARCH("MinorVibra",BG55)))</formula>
    </cfRule>
    <cfRule type="containsText" dxfId="851" priority="1072" operator="containsText" text="Working">
      <formula>NOT(ISERROR(SEARCH("Working",BG55)))</formula>
    </cfRule>
  </conditionalFormatting>
  <conditionalFormatting sqref="N19:R23">
    <cfRule type="containsText" dxfId="850" priority="998" operator="containsText" text="LossElec">
      <formula>NOT(ISERROR(SEARCH("LossElec",N19)))</formula>
    </cfRule>
    <cfRule type="containsText" dxfId="849" priority="999" operator="containsText" text="HazardElec">
      <formula>NOT(ISERROR(SEARCH("HazardElec",N19)))</formula>
    </cfRule>
    <cfRule type="containsText" dxfId="848" priority="1000" operator="containsText" text="MajorElec">
      <formula>NOT(ISERROR(SEARCH("MajorElec",N19)))</formula>
    </cfRule>
    <cfRule type="containsText" dxfId="847" priority="1001" operator="containsText" text="MinorElec">
      <formula>NOT(ISERROR(SEARCH("MinorElec",N19)))</formula>
    </cfRule>
    <cfRule type="containsText" dxfId="846" priority="1002" operator="containsText" text="Working">
      <formula>NOT(ISERROR(SEARCH("Working",N19)))</formula>
    </cfRule>
  </conditionalFormatting>
  <conditionalFormatting sqref="W19:AA23">
    <cfRule type="containsText" dxfId="845" priority="993" operator="containsText" text="LossElec">
      <formula>NOT(ISERROR(SEARCH("LossElec",W19)))</formula>
    </cfRule>
    <cfRule type="containsText" dxfId="844" priority="994" operator="containsText" text="HazardElec">
      <formula>NOT(ISERROR(SEARCH("HazardElec",W19)))</formula>
    </cfRule>
    <cfRule type="containsText" dxfId="843" priority="995" operator="containsText" text="MajorElec">
      <formula>NOT(ISERROR(SEARCH("MajorElec",W19)))</formula>
    </cfRule>
    <cfRule type="containsText" dxfId="842" priority="996" operator="containsText" text="MinorElec">
      <formula>NOT(ISERROR(SEARCH("MinorElec",W19)))</formula>
    </cfRule>
    <cfRule type="containsText" dxfId="841" priority="997" operator="containsText" text="Working">
      <formula>NOT(ISERROR(SEARCH("Working",W19)))</formula>
    </cfRule>
  </conditionalFormatting>
  <conditionalFormatting sqref="AF19:AJ23">
    <cfRule type="containsText" dxfId="840" priority="988" operator="containsText" text="LossElec">
      <formula>NOT(ISERROR(SEARCH("LossElec",AF19)))</formula>
    </cfRule>
    <cfRule type="containsText" dxfId="839" priority="989" operator="containsText" text="HazardElec">
      <formula>NOT(ISERROR(SEARCH("HazardElec",AF19)))</formula>
    </cfRule>
    <cfRule type="containsText" dxfId="838" priority="990" operator="containsText" text="MajorElec">
      <formula>NOT(ISERROR(SEARCH("MajorElec",AF19)))</formula>
    </cfRule>
    <cfRule type="containsText" dxfId="837" priority="991" operator="containsText" text="MinorElec">
      <formula>NOT(ISERROR(SEARCH("MinorElec",AF19)))</formula>
    </cfRule>
    <cfRule type="containsText" dxfId="836" priority="992" operator="containsText" text="Working">
      <formula>NOT(ISERROR(SEARCH("Working",AF19)))</formula>
    </cfRule>
  </conditionalFormatting>
  <conditionalFormatting sqref="E19:I23">
    <cfRule type="containsText" dxfId="835" priority="983" operator="containsText" text="LossElec">
      <formula>NOT(ISERROR(SEARCH("LossElec",E19)))</formula>
    </cfRule>
    <cfRule type="containsText" dxfId="834" priority="984" operator="containsText" text="HazardElec">
      <formula>NOT(ISERROR(SEARCH("HazardElec",E19)))</formula>
    </cfRule>
    <cfRule type="containsText" dxfId="833" priority="985" operator="containsText" text="MajorElec">
      <formula>NOT(ISERROR(SEARCH("MajorElec",E19)))</formula>
    </cfRule>
    <cfRule type="containsText" dxfId="832" priority="986" operator="containsText" text="MinorElec">
      <formula>NOT(ISERROR(SEARCH("MinorElec",E19)))</formula>
    </cfRule>
    <cfRule type="containsText" dxfId="831" priority="987" operator="containsText" text="Working">
      <formula>NOT(ISERROR(SEARCH("Working",E19)))</formula>
    </cfRule>
  </conditionalFormatting>
  <conditionalFormatting sqref="AO19:AS23">
    <cfRule type="containsText" dxfId="830" priority="978" operator="containsText" text="LossElec">
      <formula>NOT(ISERROR(SEARCH("LossElec",AO19)))</formula>
    </cfRule>
    <cfRule type="containsText" dxfId="829" priority="979" operator="containsText" text="HazardElec">
      <formula>NOT(ISERROR(SEARCH("HazardElec",AO19)))</formula>
    </cfRule>
    <cfRule type="containsText" dxfId="828" priority="980" operator="containsText" text="MajorElec">
      <formula>NOT(ISERROR(SEARCH("MajorElec",AO19)))</formula>
    </cfRule>
    <cfRule type="containsText" dxfId="827" priority="981" operator="containsText" text="MinorElec">
      <formula>NOT(ISERROR(SEARCH("MinorElec",AO19)))</formula>
    </cfRule>
    <cfRule type="containsText" dxfId="826" priority="982" operator="containsText" text="Working">
      <formula>NOT(ISERROR(SEARCH("Working",AO19)))</formula>
    </cfRule>
  </conditionalFormatting>
  <conditionalFormatting sqref="E120:I124">
    <cfRule type="containsText" dxfId="825" priority="973" operator="containsText" text="HazardTemp">
      <formula>NOT(ISERROR(SEARCH("HazardTemp",E120)))</formula>
    </cfRule>
    <cfRule type="containsText" dxfId="824" priority="974" operator="containsText" text="LossTemp">
      <formula>NOT(ISERROR(SEARCH("LossTemp",E120)))</formula>
    </cfRule>
    <cfRule type="containsText" dxfId="823" priority="975" operator="containsText" text="MajorTemp">
      <formula>NOT(ISERROR(SEARCH("MajorTemp",E120)))</formula>
    </cfRule>
    <cfRule type="containsText" dxfId="822" priority="976" operator="containsText" text="MinorTemp">
      <formula>NOT(ISERROR(SEARCH("MinorTemp",E120)))</formula>
    </cfRule>
    <cfRule type="containsText" dxfId="821" priority="977" operator="containsText" text="Working">
      <formula>NOT(ISERROR(SEARCH("Working",E120)))</formula>
    </cfRule>
  </conditionalFormatting>
  <conditionalFormatting sqref="N120:R124">
    <cfRule type="containsText" dxfId="820" priority="963" operator="containsText" text="HazardTemp">
      <formula>NOT(ISERROR(SEARCH("HazardTemp",N120)))</formula>
    </cfRule>
    <cfRule type="containsText" dxfId="819" priority="964" operator="containsText" text="LossTemp">
      <formula>NOT(ISERROR(SEARCH("LossTemp",N120)))</formula>
    </cfRule>
    <cfRule type="containsText" dxfId="818" priority="965" operator="containsText" text="MajorTemp">
      <formula>NOT(ISERROR(SEARCH("MajorTemp",N120)))</formula>
    </cfRule>
    <cfRule type="containsText" dxfId="817" priority="966" operator="containsText" text="MinorTemp">
      <formula>NOT(ISERROR(SEARCH("MinorTemp",N120)))</formula>
    </cfRule>
    <cfRule type="containsText" dxfId="816" priority="967" operator="containsText" text="Working">
      <formula>NOT(ISERROR(SEARCH("Working",N120)))</formula>
    </cfRule>
  </conditionalFormatting>
  <conditionalFormatting sqref="W120:AA124">
    <cfRule type="containsText" dxfId="815" priority="958" operator="containsText" text="HazardTemp">
      <formula>NOT(ISERROR(SEARCH("HazardTemp",W120)))</formula>
    </cfRule>
    <cfRule type="containsText" dxfId="814" priority="959" operator="containsText" text="LossTemp">
      <formula>NOT(ISERROR(SEARCH("LossTemp",W120)))</formula>
    </cfRule>
    <cfRule type="containsText" dxfId="813" priority="960" operator="containsText" text="MajorTemp">
      <formula>NOT(ISERROR(SEARCH("MajorTemp",W120)))</formula>
    </cfRule>
    <cfRule type="containsText" dxfId="812" priority="961" operator="containsText" text="MinorTemp">
      <formula>NOT(ISERROR(SEARCH("MinorTemp",W120)))</formula>
    </cfRule>
    <cfRule type="containsText" dxfId="811" priority="962" operator="containsText" text="Working">
      <formula>NOT(ISERROR(SEARCH("Working",W120)))</formula>
    </cfRule>
  </conditionalFormatting>
  <conditionalFormatting sqref="BP120:BT124">
    <cfRule type="containsText" dxfId="810" priority="943" operator="containsText" text="HazardTemp">
      <formula>NOT(ISERROR(SEARCH("HazardTemp",BP120)))</formula>
    </cfRule>
    <cfRule type="containsText" dxfId="809" priority="944" operator="containsText" text="LossTemp">
      <formula>NOT(ISERROR(SEARCH("LossTemp",BP120)))</formula>
    </cfRule>
    <cfRule type="containsText" dxfId="808" priority="945" operator="containsText" text="MajorTemp">
      <formula>NOT(ISERROR(SEARCH("MajorTemp",BP120)))</formula>
    </cfRule>
    <cfRule type="containsText" dxfId="807" priority="946" operator="containsText" text="MinorTemp">
      <formula>NOT(ISERROR(SEARCH("MinorTemp",BP120)))</formula>
    </cfRule>
    <cfRule type="containsText" dxfId="806" priority="947" operator="containsText" text="Working">
      <formula>NOT(ISERROR(SEARCH("Working",BP120)))</formula>
    </cfRule>
  </conditionalFormatting>
  <conditionalFormatting sqref="AF120:AJ124">
    <cfRule type="containsText" dxfId="805" priority="928" operator="containsText" text="HazardTemp">
      <formula>NOT(ISERROR(SEARCH("HazardTemp",AF120)))</formula>
    </cfRule>
    <cfRule type="containsText" dxfId="804" priority="929" operator="containsText" text="LossTemp">
      <formula>NOT(ISERROR(SEARCH("LossTemp",AF120)))</formula>
    </cfRule>
    <cfRule type="containsText" dxfId="803" priority="930" operator="containsText" text="MajorTemp">
      <formula>NOT(ISERROR(SEARCH("MajorTemp",AF120)))</formula>
    </cfRule>
    <cfRule type="containsText" dxfId="802" priority="931" operator="containsText" text="MinorTemp">
      <formula>NOT(ISERROR(SEARCH("MinorTemp",AF120)))</formula>
    </cfRule>
    <cfRule type="containsText" dxfId="801" priority="932" operator="containsText" text="Working">
      <formula>NOT(ISERROR(SEARCH("Working",AF120)))</formula>
    </cfRule>
  </conditionalFormatting>
  <conditionalFormatting sqref="AO120:AS124">
    <cfRule type="containsText" dxfId="800" priority="923" operator="containsText" text="HazardTemp">
      <formula>NOT(ISERROR(SEARCH("HazardTemp",AO120)))</formula>
    </cfRule>
    <cfRule type="containsText" dxfId="799" priority="924" operator="containsText" text="LossTemp">
      <formula>NOT(ISERROR(SEARCH("LossTemp",AO120)))</formula>
    </cfRule>
    <cfRule type="containsText" dxfId="798" priority="925" operator="containsText" text="MajorTemp">
      <formula>NOT(ISERROR(SEARCH("MajorTemp",AO120)))</formula>
    </cfRule>
    <cfRule type="containsText" dxfId="797" priority="926" operator="containsText" text="MinorTemp">
      <formula>NOT(ISERROR(SEARCH("MinorTemp",AO120)))</formula>
    </cfRule>
    <cfRule type="containsText" dxfId="796" priority="927" operator="containsText" text="Working">
      <formula>NOT(ISERROR(SEARCH("Working",AO120)))</formula>
    </cfRule>
  </conditionalFormatting>
  <conditionalFormatting sqref="AX120:BB124">
    <cfRule type="containsText" dxfId="795" priority="918" operator="containsText" text="HazardTemp">
      <formula>NOT(ISERROR(SEARCH("HazardTemp",AX120)))</formula>
    </cfRule>
    <cfRule type="containsText" dxfId="794" priority="919" operator="containsText" text="LossTemp">
      <formula>NOT(ISERROR(SEARCH("LossTemp",AX120)))</formula>
    </cfRule>
    <cfRule type="containsText" dxfId="793" priority="920" operator="containsText" text="MajorTemp">
      <formula>NOT(ISERROR(SEARCH("MajorTemp",AX120)))</formula>
    </cfRule>
    <cfRule type="containsText" dxfId="792" priority="921" operator="containsText" text="MinorTemp">
      <formula>NOT(ISERROR(SEARCH("MinorTemp",AX120)))</formula>
    </cfRule>
    <cfRule type="containsText" dxfId="791" priority="922" operator="containsText" text="Working">
      <formula>NOT(ISERROR(SEARCH("Working",AX120)))</formula>
    </cfRule>
  </conditionalFormatting>
  <conditionalFormatting sqref="BG120:BK124">
    <cfRule type="containsText" dxfId="790" priority="913" operator="containsText" text="HazardTemp">
      <formula>NOT(ISERROR(SEARCH("HazardTemp",BG120)))</formula>
    </cfRule>
    <cfRule type="containsText" dxfId="789" priority="914" operator="containsText" text="LossTemp">
      <formula>NOT(ISERROR(SEARCH("LossTemp",BG120)))</formula>
    </cfRule>
    <cfRule type="containsText" dxfId="788" priority="915" operator="containsText" text="MajorTemp">
      <formula>NOT(ISERROR(SEARCH("MajorTemp",BG120)))</formula>
    </cfRule>
    <cfRule type="containsText" dxfId="787" priority="916" operator="containsText" text="MinorTemp">
      <formula>NOT(ISERROR(SEARCH("MinorTemp",BG120)))</formula>
    </cfRule>
    <cfRule type="containsText" dxfId="786" priority="917" operator="containsText" text="Working">
      <formula>NOT(ISERROR(SEARCH("Working",BG120)))</formula>
    </cfRule>
  </conditionalFormatting>
  <conditionalFormatting sqref="BY120:CC124">
    <cfRule type="containsText" dxfId="785" priority="893" operator="containsText" text="HazardTemp">
      <formula>NOT(ISERROR(SEARCH("HazardTemp",BY120)))</formula>
    </cfRule>
    <cfRule type="containsText" dxfId="784" priority="894" operator="containsText" text="LossTemp">
      <formula>NOT(ISERROR(SEARCH("LossTemp",BY120)))</formula>
    </cfRule>
    <cfRule type="containsText" dxfId="783" priority="895" operator="containsText" text="MajorTemp">
      <formula>NOT(ISERROR(SEARCH("MajorTemp",BY120)))</formula>
    </cfRule>
    <cfRule type="containsText" dxfId="782" priority="896" operator="containsText" text="MinorTemp">
      <formula>NOT(ISERROR(SEARCH("MinorTemp",BY120)))</formula>
    </cfRule>
    <cfRule type="containsText" dxfId="781" priority="897" operator="containsText" text="Working">
      <formula>NOT(ISERROR(SEARCH("Working",BY120)))</formula>
    </cfRule>
  </conditionalFormatting>
  <conditionalFormatting sqref="CH120:CL124">
    <cfRule type="containsText" dxfId="780" priority="888" operator="containsText" text="HazardTemp">
      <formula>NOT(ISERROR(SEARCH("HazardTemp",CH120)))</formula>
    </cfRule>
    <cfRule type="containsText" dxfId="779" priority="889" operator="containsText" text="LossTemp">
      <formula>NOT(ISERROR(SEARCH("LossTemp",CH120)))</formula>
    </cfRule>
    <cfRule type="containsText" dxfId="778" priority="890" operator="containsText" text="MajorTemp">
      <formula>NOT(ISERROR(SEARCH("MajorTemp",CH120)))</formula>
    </cfRule>
    <cfRule type="containsText" dxfId="777" priority="891" operator="containsText" text="MinorTemp">
      <formula>NOT(ISERROR(SEARCH("MinorTemp",CH120)))</formula>
    </cfRule>
    <cfRule type="containsText" dxfId="776" priority="892" operator="containsText" text="Working">
      <formula>NOT(ISERROR(SEARCH("Working",CH120)))</formula>
    </cfRule>
  </conditionalFormatting>
  <conditionalFormatting sqref="CQ120:CU124">
    <cfRule type="containsText" dxfId="775" priority="883" operator="containsText" text="HazardTemp">
      <formula>NOT(ISERROR(SEARCH("HazardTemp",CQ120)))</formula>
    </cfRule>
    <cfRule type="containsText" dxfId="774" priority="884" operator="containsText" text="LossTemp">
      <formula>NOT(ISERROR(SEARCH("LossTemp",CQ120)))</formula>
    </cfRule>
    <cfRule type="containsText" dxfId="773" priority="885" operator="containsText" text="MajorTemp">
      <formula>NOT(ISERROR(SEARCH("MajorTemp",CQ120)))</formula>
    </cfRule>
    <cfRule type="containsText" dxfId="772" priority="886" operator="containsText" text="MinorTemp">
      <formula>NOT(ISERROR(SEARCH("MinorTemp",CQ120)))</formula>
    </cfRule>
    <cfRule type="containsText" dxfId="771" priority="887" operator="containsText" text="Working">
      <formula>NOT(ISERROR(SEARCH("Working",CQ120)))</formula>
    </cfRule>
  </conditionalFormatting>
  <conditionalFormatting sqref="CZ120:DD124">
    <cfRule type="containsText" dxfId="770" priority="878" operator="containsText" text="HazardTemp">
      <formula>NOT(ISERROR(SEARCH("HazardTemp",CZ120)))</formula>
    </cfRule>
    <cfRule type="containsText" dxfId="769" priority="879" operator="containsText" text="LossTemp">
      <formula>NOT(ISERROR(SEARCH("LossTemp",CZ120)))</formula>
    </cfRule>
    <cfRule type="containsText" dxfId="768" priority="880" operator="containsText" text="MajorTemp">
      <formula>NOT(ISERROR(SEARCH("MajorTemp",CZ120)))</formula>
    </cfRule>
    <cfRule type="containsText" dxfId="767" priority="881" operator="containsText" text="MinorTemp">
      <formula>NOT(ISERROR(SEARCH("MinorTemp",CZ120)))</formula>
    </cfRule>
    <cfRule type="containsText" dxfId="766" priority="882" operator="containsText" text="Working">
      <formula>NOT(ISERROR(SEARCH("Working",CZ120)))</formula>
    </cfRule>
  </conditionalFormatting>
  <conditionalFormatting sqref="E132:I136">
    <cfRule type="containsText" dxfId="765" priority="873" operator="containsText" text="HazardVibra">
      <formula>NOT(ISERROR(SEARCH("HazardVibra",E132)))</formula>
    </cfRule>
    <cfRule type="containsText" dxfId="764" priority="874" operator="containsText" text="CatasVibra">
      <formula>NOT(ISERROR(SEARCH("CatasVibra",E132)))</formula>
    </cfRule>
    <cfRule type="containsText" dxfId="763" priority="875" operator="containsText" text="MajorVibra">
      <formula>NOT(ISERROR(SEARCH("MajorVibra",E132)))</formula>
    </cfRule>
    <cfRule type="containsText" dxfId="762" priority="876" operator="containsText" text="MinorVibra">
      <formula>NOT(ISERROR(SEARCH("MinorVibra",E132)))</formula>
    </cfRule>
    <cfRule type="containsText" dxfId="761" priority="877" operator="containsText" text="Working">
      <formula>NOT(ISERROR(SEARCH("Working",E132)))</formula>
    </cfRule>
  </conditionalFormatting>
  <conditionalFormatting sqref="N132:R136">
    <cfRule type="containsText" dxfId="760" priority="868" operator="containsText" text="HazardVibra">
      <formula>NOT(ISERROR(SEARCH("HazardVibra",N132)))</formula>
    </cfRule>
    <cfRule type="containsText" dxfId="759" priority="869" operator="containsText" text="CatasVibra">
      <formula>NOT(ISERROR(SEARCH("CatasVibra",N132)))</formula>
    </cfRule>
    <cfRule type="containsText" dxfId="758" priority="870" operator="containsText" text="MajorVibra">
      <formula>NOT(ISERROR(SEARCH("MajorVibra",N132)))</formula>
    </cfRule>
    <cfRule type="containsText" dxfId="757" priority="871" operator="containsText" text="MinorVibra">
      <formula>NOT(ISERROR(SEARCH("MinorVibra",N132)))</formula>
    </cfRule>
    <cfRule type="containsText" dxfId="756" priority="872" operator="containsText" text="Working">
      <formula>NOT(ISERROR(SEARCH("Working",N132)))</formula>
    </cfRule>
  </conditionalFormatting>
  <conditionalFormatting sqref="W132:AA136">
    <cfRule type="containsText" dxfId="755" priority="863" operator="containsText" text="HazardVibra">
      <formula>NOT(ISERROR(SEARCH("HazardVibra",W132)))</formula>
    </cfRule>
    <cfRule type="containsText" dxfId="754" priority="864" operator="containsText" text="CatasVibra">
      <formula>NOT(ISERROR(SEARCH("CatasVibra",W132)))</formula>
    </cfRule>
    <cfRule type="containsText" dxfId="753" priority="865" operator="containsText" text="MajorVibra">
      <formula>NOT(ISERROR(SEARCH("MajorVibra",W132)))</formula>
    </cfRule>
    <cfRule type="containsText" dxfId="752" priority="866" operator="containsText" text="MinorVibra">
      <formula>NOT(ISERROR(SEARCH("MinorVibra",W132)))</formula>
    </cfRule>
    <cfRule type="containsText" dxfId="751" priority="867" operator="containsText" text="Working">
      <formula>NOT(ISERROR(SEARCH("Working",W132)))</formula>
    </cfRule>
  </conditionalFormatting>
  <conditionalFormatting sqref="AF132:AJ136">
    <cfRule type="containsText" dxfId="750" priority="858" operator="containsText" text="HazardVibra">
      <formula>NOT(ISERROR(SEARCH("HazardVibra",AF132)))</formula>
    </cfRule>
    <cfRule type="containsText" dxfId="749" priority="859" operator="containsText" text="CatasVibra">
      <formula>NOT(ISERROR(SEARCH("CatasVibra",AF132)))</formula>
    </cfRule>
    <cfRule type="containsText" dxfId="748" priority="860" operator="containsText" text="MajorVibra">
      <formula>NOT(ISERROR(SEARCH("MajorVibra",AF132)))</formula>
    </cfRule>
    <cfRule type="containsText" dxfId="747" priority="861" operator="containsText" text="MinorVibra">
      <formula>NOT(ISERROR(SEARCH("MinorVibra",AF132)))</formula>
    </cfRule>
    <cfRule type="containsText" dxfId="746" priority="862" operator="containsText" text="Working">
      <formula>NOT(ISERROR(SEARCH("Working",AF132)))</formula>
    </cfRule>
  </conditionalFormatting>
  <conditionalFormatting sqref="AO132:AS136">
    <cfRule type="containsText" dxfId="745" priority="853" operator="containsText" text="HazardVibra">
      <formula>NOT(ISERROR(SEARCH("HazardVibra",AO132)))</formula>
    </cfRule>
    <cfRule type="containsText" dxfId="744" priority="854" operator="containsText" text="CatasVibra">
      <formula>NOT(ISERROR(SEARCH("CatasVibra",AO132)))</formula>
    </cfRule>
    <cfRule type="containsText" dxfId="743" priority="855" operator="containsText" text="MajorVibra">
      <formula>NOT(ISERROR(SEARCH("MajorVibra",AO132)))</formula>
    </cfRule>
    <cfRule type="containsText" dxfId="742" priority="856" operator="containsText" text="MinorVibra">
      <formula>NOT(ISERROR(SEARCH("MinorVibra",AO132)))</formula>
    </cfRule>
    <cfRule type="containsText" dxfId="741" priority="857" operator="containsText" text="Working">
      <formula>NOT(ISERROR(SEARCH("Working",AO132)))</formula>
    </cfRule>
  </conditionalFormatting>
  <conditionalFormatting sqref="AX132:BB136">
    <cfRule type="containsText" dxfId="740" priority="848" operator="containsText" text="HazardVibra">
      <formula>NOT(ISERROR(SEARCH("HazardVibra",AX132)))</formula>
    </cfRule>
    <cfRule type="containsText" dxfId="739" priority="849" operator="containsText" text="CatasVibra">
      <formula>NOT(ISERROR(SEARCH("CatasVibra",AX132)))</formula>
    </cfRule>
    <cfRule type="containsText" dxfId="738" priority="850" operator="containsText" text="MajorVibra">
      <formula>NOT(ISERROR(SEARCH("MajorVibra",AX132)))</formula>
    </cfRule>
    <cfRule type="containsText" dxfId="737" priority="851" operator="containsText" text="MinorVibra">
      <formula>NOT(ISERROR(SEARCH("MinorVibra",AX132)))</formula>
    </cfRule>
    <cfRule type="containsText" dxfId="736" priority="852" operator="containsText" text="Working">
      <formula>NOT(ISERROR(SEARCH("Working",AX132)))</formula>
    </cfRule>
  </conditionalFormatting>
  <conditionalFormatting sqref="BG132:BK136">
    <cfRule type="containsText" dxfId="735" priority="843" operator="containsText" text="HazardVibra">
      <formula>NOT(ISERROR(SEARCH("HazardVibra",BG132)))</formula>
    </cfRule>
    <cfRule type="containsText" dxfId="734" priority="844" operator="containsText" text="CatasVibra">
      <formula>NOT(ISERROR(SEARCH("CatasVibra",BG132)))</formula>
    </cfRule>
    <cfRule type="containsText" dxfId="733" priority="845" operator="containsText" text="MajorVibra">
      <formula>NOT(ISERROR(SEARCH("MajorVibra",BG132)))</formula>
    </cfRule>
    <cfRule type="containsText" dxfId="732" priority="846" operator="containsText" text="MinorVibra">
      <formula>NOT(ISERROR(SEARCH("MinorVibra",BG132)))</formula>
    </cfRule>
    <cfRule type="containsText" dxfId="731" priority="847" operator="containsText" text="Working">
      <formula>NOT(ISERROR(SEARCH("Working",BG132)))</formula>
    </cfRule>
  </conditionalFormatting>
  <conditionalFormatting sqref="BP132:BT136">
    <cfRule type="containsText" dxfId="730" priority="838" operator="containsText" text="HazardVibra">
      <formula>NOT(ISERROR(SEARCH("HazardVibra",BP132)))</formula>
    </cfRule>
    <cfRule type="containsText" dxfId="729" priority="839" operator="containsText" text="CatasVibra">
      <formula>NOT(ISERROR(SEARCH("CatasVibra",BP132)))</formula>
    </cfRule>
    <cfRule type="containsText" dxfId="728" priority="840" operator="containsText" text="MajorVibra">
      <formula>NOT(ISERROR(SEARCH("MajorVibra",BP132)))</formula>
    </cfRule>
    <cfRule type="containsText" dxfId="727" priority="841" operator="containsText" text="MinorVibra">
      <formula>NOT(ISERROR(SEARCH("MinorVibra",BP132)))</formula>
    </cfRule>
    <cfRule type="containsText" dxfId="726" priority="842" operator="containsText" text="Working">
      <formula>NOT(ISERROR(SEARCH("Working",BP132)))</formula>
    </cfRule>
  </conditionalFormatting>
  <conditionalFormatting sqref="BY132:CC136">
    <cfRule type="containsText" dxfId="725" priority="833" operator="containsText" text="HazardVibra">
      <formula>NOT(ISERROR(SEARCH("HazardVibra",BY132)))</formula>
    </cfRule>
    <cfRule type="containsText" dxfId="724" priority="834" operator="containsText" text="CatasVibra">
      <formula>NOT(ISERROR(SEARCH("CatasVibra",BY132)))</formula>
    </cfRule>
    <cfRule type="containsText" dxfId="723" priority="835" operator="containsText" text="MajorVibra">
      <formula>NOT(ISERROR(SEARCH("MajorVibra",BY132)))</formula>
    </cfRule>
    <cfRule type="containsText" dxfId="722" priority="836" operator="containsText" text="MinorVibra">
      <formula>NOT(ISERROR(SEARCH("MinorVibra",BY132)))</formula>
    </cfRule>
    <cfRule type="containsText" dxfId="721" priority="837" operator="containsText" text="Working">
      <formula>NOT(ISERROR(SEARCH("Working",BY132)))</formula>
    </cfRule>
  </conditionalFormatting>
  <conditionalFormatting sqref="CH132:CL136">
    <cfRule type="containsText" dxfId="720" priority="828" operator="containsText" text="HazardVibra">
      <formula>NOT(ISERROR(SEARCH("HazardVibra",CH132)))</formula>
    </cfRule>
    <cfRule type="containsText" dxfId="719" priority="829" operator="containsText" text="CatasVibra">
      <formula>NOT(ISERROR(SEARCH("CatasVibra",CH132)))</formula>
    </cfRule>
    <cfRule type="containsText" dxfId="718" priority="830" operator="containsText" text="MajorVibra">
      <formula>NOT(ISERROR(SEARCH("MajorVibra",CH132)))</formula>
    </cfRule>
    <cfRule type="containsText" dxfId="717" priority="831" operator="containsText" text="MinorVibra">
      <formula>NOT(ISERROR(SEARCH("MinorVibra",CH132)))</formula>
    </cfRule>
    <cfRule type="containsText" dxfId="716" priority="832" operator="containsText" text="Working">
      <formula>NOT(ISERROR(SEARCH("Working",CH132)))</formula>
    </cfRule>
  </conditionalFormatting>
  <conditionalFormatting sqref="G70">
    <cfRule type="containsText" dxfId="715" priority="818" operator="containsText" text="LossMech">
      <formula>NOT(ISERROR(SEARCH("LossMech",G70)))</formula>
    </cfRule>
    <cfRule type="containsText" dxfId="714" priority="819" operator="containsText" text="HazardMech">
      <formula>NOT(ISERROR(SEARCH("HazardMech",G70)))</formula>
    </cfRule>
    <cfRule type="containsText" dxfId="713" priority="820" operator="containsText" text="MajorMech">
      <formula>NOT(ISERROR(SEARCH("MajorMech",G70)))</formula>
    </cfRule>
    <cfRule type="containsText" dxfId="712" priority="821" operator="containsText" text="MinorMech">
      <formula>NOT(ISERROR(SEARCH("MinorMech",G70)))</formula>
    </cfRule>
    <cfRule type="containsText" dxfId="711" priority="822" operator="containsText" text="Working">
      <formula>NOT(ISERROR(SEARCH("Working",G70)))</formula>
    </cfRule>
  </conditionalFormatting>
  <conditionalFormatting sqref="N68 N72:Q72 R68:R72 Q70:Q71 P71">
    <cfRule type="containsText" dxfId="710" priority="813" operator="containsText" text="LossMech">
      <formula>NOT(ISERROR(SEARCH("LossMech",N68)))</formula>
    </cfRule>
    <cfRule type="containsText" dxfId="709" priority="814" operator="containsText" text="HazardMech">
      <formula>NOT(ISERROR(SEARCH("HazardMech",N68)))</formula>
    </cfRule>
    <cfRule type="containsText" dxfId="708" priority="815" operator="containsText" text="MajorMech">
      <formula>NOT(ISERROR(SEARCH("MajorMech",N68)))</formula>
    </cfRule>
    <cfRule type="containsText" dxfId="707" priority="816" operator="containsText" text="MinorMech">
      <formula>NOT(ISERROR(SEARCH("MinorMech",N68)))</formula>
    </cfRule>
    <cfRule type="containsText" dxfId="706" priority="817" operator="containsText" text="Working">
      <formula>NOT(ISERROR(SEARCH("Working",N68)))</formula>
    </cfRule>
  </conditionalFormatting>
  <conditionalFormatting sqref="N69:O69 O68">
    <cfRule type="containsText" dxfId="705" priority="808" operator="containsText" text="LossMech">
      <formula>NOT(ISERROR(SEARCH("LossMech",N68)))</formula>
    </cfRule>
    <cfRule type="containsText" dxfId="704" priority="809" operator="containsText" text="HazardMech">
      <formula>NOT(ISERROR(SEARCH("HazardMech",N68)))</formula>
    </cfRule>
    <cfRule type="containsText" dxfId="703" priority="810" operator="containsText" text="MajorMech">
      <formula>NOT(ISERROR(SEARCH("MajorMech",N68)))</formula>
    </cfRule>
    <cfRule type="containsText" dxfId="702" priority="811" operator="containsText" text="MinorMech">
      <formula>NOT(ISERROR(SEARCH("MinorMech",N68)))</formula>
    </cfRule>
    <cfRule type="containsText" dxfId="701" priority="812" operator="containsText" text="Working">
      <formula>NOT(ISERROR(SEARCH("Working",N68)))</formula>
    </cfRule>
  </conditionalFormatting>
  <conditionalFormatting sqref="N70:O70 P68:P69">
    <cfRule type="containsText" dxfId="700" priority="803" operator="containsText" text="LossMech">
      <formula>NOT(ISERROR(SEARCH("LossMech",N68)))</formula>
    </cfRule>
    <cfRule type="containsText" dxfId="699" priority="804" operator="containsText" text="HazardMech">
      <formula>NOT(ISERROR(SEARCH("HazardMech",N68)))</formula>
    </cfRule>
    <cfRule type="containsText" dxfId="698" priority="805" operator="containsText" text="MajorMech">
      <formula>NOT(ISERROR(SEARCH("MajorMech",N68)))</formula>
    </cfRule>
    <cfRule type="containsText" dxfId="697" priority="806" operator="containsText" text="MinorMech">
      <formula>NOT(ISERROR(SEARCH("MinorMech",N68)))</formula>
    </cfRule>
    <cfRule type="containsText" dxfId="696" priority="807" operator="containsText" text="Working">
      <formula>NOT(ISERROR(SEARCH("Working",N68)))</formula>
    </cfRule>
  </conditionalFormatting>
  <conditionalFormatting sqref="N71:O71 Q68:Q69">
    <cfRule type="containsText" dxfId="695" priority="798" operator="containsText" text="LossMech">
      <formula>NOT(ISERROR(SEARCH("LossMech",N68)))</formula>
    </cfRule>
    <cfRule type="containsText" dxfId="694" priority="799" operator="containsText" text="HazardMech">
      <formula>NOT(ISERROR(SEARCH("HazardMech",N68)))</formula>
    </cfRule>
    <cfRule type="containsText" dxfId="693" priority="800" operator="containsText" text="MajorMech">
      <formula>NOT(ISERROR(SEARCH("MajorMech",N68)))</formula>
    </cfRule>
    <cfRule type="containsText" dxfId="692" priority="801" operator="containsText" text="MinorMech">
      <formula>NOT(ISERROR(SEARCH("MinorMech",N68)))</formula>
    </cfRule>
    <cfRule type="containsText" dxfId="691" priority="802" operator="containsText" text="Working">
      <formula>NOT(ISERROR(SEARCH("Working",N68)))</formula>
    </cfRule>
  </conditionalFormatting>
  <conditionalFormatting sqref="P70">
    <cfRule type="containsText" dxfId="690" priority="793" operator="containsText" text="LossMech">
      <formula>NOT(ISERROR(SEARCH("LossMech",P70)))</formula>
    </cfRule>
    <cfRule type="containsText" dxfId="689" priority="794" operator="containsText" text="HazardMech">
      <formula>NOT(ISERROR(SEARCH("HazardMech",P70)))</formula>
    </cfRule>
    <cfRule type="containsText" dxfId="688" priority="795" operator="containsText" text="MajorMech">
      <formula>NOT(ISERROR(SEARCH("MajorMech",P70)))</formula>
    </cfRule>
    <cfRule type="containsText" dxfId="687" priority="796" operator="containsText" text="MinorMech">
      <formula>NOT(ISERROR(SEARCH("MinorMech",P70)))</formula>
    </cfRule>
    <cfRule type="containsText" dxfId="686" priority="797" operator="containsText" text="Working">
      <formula>NOT(ISERROR(SEARCH("Working",P70)))</formula>
    </cfRule>
  </conditionalFormatting>
  <conditionalFormatting sqref="AO68:AS72">
    <cfRule type="containsText" dxfId="685" priority="789" operator="containsText" text="HazardCtrl">
      <formula>NOT(ISERROR(SEARCH("HazardCtrl",AO68)))</formula>
    </cfRule>
    <cfRule type="containsText" dxfId="684" priority="792" operator="containsText" text="Working">
      <formula>NOT(ISERROR(SEARCH("Working",AO68)))</formula>
    </cfRule>
  </conditionalFormatting>
  <conditionalFormatting sqref="BY68:CC72">
    <cfRule type="containsText" dxfId="683" priority="708" operator="containsText" text="LossCtrl">
      <formula>NOT(ISERROR(SEARCH("LossCtrl",BY68)))</formula>
    </cfRule>
    <cfRule type="containsText" dxfId="682" priority="709" operator="containsText" text="HazardCtrl">
      <formula>NOT(ISERROR(SEARCH("HazardCtrl",BY68)))</formula>
    </cfRule>
    <cfRule type="containsText" dxfId="681" priority="710" operator="containsText" text="MajorCtrl">
      <formula>NOT(ISERROR(SEARCH("MajorCtrl",BY68)))</formula>
    </cfRule>
    <cfRule type="containsText" dxfId="680" priority="711" operator="containsText" text="MinorCtrl">
      <formula>NOT(ISERROR(SEARCH("MinorCtrl",BY68)))</formula>
    </cfRule>
    <cfRule type="containsText" dxfId="679" priority="712" operator="containsText" text="Working">
      <formula>NOT(ISERROR(SEARCH("Working",BY68)))</formula>
    </cfRule>
  </conditionalFormatting>
  <conditionalFormatting sqref="CH68:CL72">
    <cfRule type="containsText" dxfId="678" priority="703" operator="containsText" text="LossCtrl">
      <formula>NOT(ISERROR(SEARCH("LossCtrl",CH68)))</formula>
    </cfRule>
    <cfRule type="containsText" dxfId="677" priority="704" operator="containsText" text="HazardCtrl">
      <formula>NOT(ISERROR(SEARCH("HazardCtrl",CH68)))</formula>
    </cfRule>
    <cfRule type="containsText" dxfId="676" priority="705" operator="containsText" text="MajorCtrl">
      <formula>NOT(ISERROR(SEARCH("MajorCtrl",CH68)))</formula>
    </cfRule>
    <cfRule type="containsText" dxfId="675" priority="706" operator="containsText" text="MinorCtrl">
      <formula>NOT(ISERROR(SEARCH("MinorCtrl",CH68)))</formula>
    </cfRule>
    <cfRule type="containsText" dxfId="674" priority="707" operator="containsText" text="Working">
      <formula>NOT(ISERROR(SEARCH("Working",CH68)))</formula>
    </cfRule>
  </conditionalFormatting>
  <conditionalFormatting sqref="AX68:AY68 AX71:BB72 AX69 AZ69:BB69 AY70:BB70 BA68:BB68">
    <cfRule type="containsText" dxfId="673" priority="673" operator="containsText" text="LossMech">
      <formula>NOT(ISERROR(SEARCH("LossMech",AX68)))</formula>
    </cfRule>
    <cfRule type="containsText" dxfId="672" priority="674" operator="containsText" text="HazardMech">
      <formula>NOT(ISERROR(SEARCH("HazardMech",AX68)))</formula>
    </cfRule>
    <cfRule type="containsText" dxfId="671" priority="675" operator="containsText" text="MajorMech">
      <formula>NOT(ISERROR(SEARCH("MajorMech",AX68)))</formula>
    </cfRule>
    <cfRule type="containsText" dxfId="670" priority="676" operator="containsText" text="MinorMech">
      <formula>NOT(ISERROR(SEARCH("MinorMech",AX68)))</formula>
    </cfRule>
    <cfRule type="containsText" dxfId="669" priority="677" operator="containsText" text="Working">
      <formula>NOT(ISERROR(SEARCH("Working",AX68)))</formula>
    </cfRule>
  </conditionalFormatting>
  <conditionalFormatting sqref="AY69">
    <cfRule type="containsText" dxfId="668" priority="668" operator="containsText" text="LossMech">
      <formula>NOT(ISERROR(SEARCH("LossMech",AY69)))</formula>
    </cfRule>
    <cfRule type="containsText" dxfId="667" priority="669" operator="containsText" text="HazardMech">
      <formula>NOT(ISERROR(SEARCH("HazardMech",AY69)))</formula>
    </cfRule>
    <cfRule type="containsText" dxfId="666" priority="670" operator="containsText" text="MajorMech">
      <formula>NOT(ISERROR(SEARCH("MajorMech",AY69)))</formula>
    </cfRule>
    <cfRule type="containsText" dxfId="665" priority="671" operator="containsText" text="MinorMech">
      <formula>NOT(ISERROR(SEARCH("MinorMech",AY69)))</formula>
    </cfRule>
    <cfRule type="containsText" dxfId="664" priority="672" operator="containsText" text="Working">
      <formula>NOT(ISERROR(SEARCH("Working",AY69)))</formula>
    </cfRule>
  </conditionalFormatting>
  <conditionalFormatting sqref="AX70">
    <cfRule type="containsText" dxfId="663" priority="663" operator="containsText" text="LossMech">
      <formula>NOT(ISERROR(SEARCH("LossMech",AX70)))</formula>
    </cfRule>
    <cfRule type="containsText" dxfId="662" priority="664" operator="containsText" text="HazardMech">
      <formula>NOT(ISERROR(SEARCH("HazardMech",AX70)))</formula>
    </cfRule>
    <cfRule type="containsText" dxfId="661" priority="665" operator="containsText" text="MajorMech">
      <formula>NOT(ISERROR(SEARCH("MajorMech",AX70)))</formula>
    </cfRule>
    <cfRule type="containsText" dxfId="660" priority="666" operator="containsText" text="MinorMech">
      <formula>NOT(ISERROR(SEARCH("MinorMech",AX70)))</formula>
    </cfRule>
    <cfRule type="containsText" dxfId="659" priority="667" operator="containsText" text="Working">
      <formula>NOT(ISERROR(SEARCH("Working",AX70)))</formula>
    </cfRule>
  </conditionalFormatting>
  <conditionalFormatting sqref="AZ68">
    <cfRule type="containsText" dxfId="658" priority="628" operator="containsText" text="LossMech">
      <formula>NOT(ISERROR(SEARCH("LossMech",AZ68)))</formula>
    </cfRule>
    <cfRule type="containsText" dxfId="657" priority="629" operator="containsText" text="HazardMech">
      <formula>NOT(ISERROR(SEARCH("HazardMech",AZ68)))</formula>
    </cfRule>
    <cfRule type="containsText" dxfId="656" priority="630" operator="containsText" text="MajorMech">
      <formula>NOT(ISERROR(SEARCH("MajorMech",AZ68)))</formula>
    </cfRule>
    <cfRule type="containsText" dxfId="655" priority="631" operator="containsText" text="MinorMech">
      <formula>NOT(ISERROR(SEARCH("MinorMech",AZ68)))</formula>
    </cfRule>
    <cfRule type="containsText" dxfId="654" priority="632" operator="containsText" text="Working">
      <formula>NOT(ISERROR(SEARCH("Working",AZ68)))</formula>
    </cfRule>
  </conditionalFormatting>
  <conditionalFormatting sqref="BG68:BH68 BG71:BK72 BG69 BI69:BK69 BH70:BK70 BJ68:BK68">
    <cfRule type="containsText" dxfId="653" priority="623" operator="containsText" text="LossMech">
      <formula>NOT(ISERROR(SEARCH("LossMech",BG68)))</formula>
    </cfRule>
    <cfRule type="containsText" dxfId="652" priority="624" operator="containsText" text="HazardMech">
      <formula>NOT(ISERROR(SEARCH("HazardMech",BG68)))</formula>
    </cfRule>
    <cfRule type="containsText" dxfId="651" priority="625" operator="containsText" text="MajorMech">
      <formula>NOT(ISERROR(SEARCH("MajorMech",BG68)))</formula>
    </cfRule>
    <cfRule type="containsText" dxfId="650" priority="626" operator="containsText" text="MinorMech">
      <formula>NOT(ISERROR(SEARCH("MinorMech",BG68)))</formula>
    </cfRule>
    <cfRule type="containsText" dxfId="649" priority="627" operator="containsText" text="Working">
      <formula>NOT(ISERROR(SEARCH("Working",BG68)))</formula>
    </cfRule>
  </conditionalFormatting>
  <conditionalFormatting sqref="BH69">
    <cfRule type="containsText" dxfId="648" priority="618" operator="containsText" text="LossMech">
      <formula>NOT(ISERROR(SEARCH("LossMech",BH69)))</formula>
    </cfRule>
    <cfRule type="containsText" dxfId="647" priority="619" operator="containsText" text="HazardMech">
      <formula>NOT(ISERROR(SEARCH("HazardMech",BH69)))</formula>
    </cfRule>
    <cfRule type="containsText" dxfId="646" priority="620" operator="containsText" text="MajorMech">
      <formula>NOT(ISERROR(SEARCH("MajorMech",BH69)))</formula>
    </cfRule>
    <cfRule type="containsText" dxfId="645" priority="621" operator="containsText" text="MinorMech">
      <formula>NOT(ISERROR(SEARCH("MinorMech",BH69)))</formula>
    </cfRule>
    <cfRule type="containsText" dxfId="644" priority="622" operator="containsText" text="Working">
      <formula>NOT(ISERROR(SEARCH("Working",BH69)))</formula>
    </cfRule>
  </conditionalFormatting>
  <conditionalFormatting sqref="BG70">
    <cfRule type="containsText" dxfId="643" priority="613" operator="containsText" text="LossMech">
      <formula>NOT(ISERROR(SEARCH("LossMech",BG70)))</formula>
    </cfRule>
    <cfRule type="containsText" dxfId="642" priority="614" operator="containsText" text="HazardMech">
      <formula>NOT(ISERROR(SEARCH("HazardMech",BG70)))</formula>
    </cfRule>
    <cfRule type="containsText" dxfId="641" priority="615" operator="containsText" text="MajorMech">
      <formula>NOT(ISERROR(SEARCH("MajorMech",BG70)))</formula>
    </cfRule>
    <cfRule type="containsText" dxfId="640" priority="616" operator="containsText" text="MinorMech">
      <formula>NOT(ISERROR(SEARCH("MinorMech",BG70)))</formula>
    </cfRule>
    <cfRule type="containsText" dxfId="639" priority="617" operator="containsText" text="Working">
      <formula>NOT(ISERROR(SEARCH("Working",BG70)))</formula>
    </cfRule>
  </conditionalFormatting>
  <conditionalFormatting sqref="BI68">
    <cfRule type="containsText" dxfId="638" priority="608" operator="containsText" text="LossMech">
      <formula>NOT(ISERROR(SEARCH("LossMech",BI68)))</formula>
    </cfRule>
    <cfRule type="containsText" dxfId="637" priority="609" operator="containsText" text="HazardMech">
      <formula>NOT(ISERROR(SEARCH("HazardMech",BI68)))</formula>
    </cfRule>
    <cfRule type="containsText" dxfId="636" priority="610" operator="containsText" text="MajorMech">
      <formula>NOT(ISERROR(SEARCH("MajorMech",BI68)))</formula>
    </cfRule>
    <cfRule type="containsText" dxfId="635" priority="611" operator="containsText" text="MinorMech">
      <formula>NOT(ISERROR(SEARCH("MinorMech",BI68)))</formula>
    </cfRule>
    <cfRule type="containsText" dxfId="634" priority="612" operator="containsText" text="Working">
      <formula>NOT(ISERROR(SEARCH("Working",BI68)))</formula>
    </cfRule>
  </conditionalFormatting>
  <conditionalFormatting sqref="BP68:BQ68 BP71:BT72 BP69 BR69:BT69 BQ70:BT70 BS68:BT68">
    <cfRule type="containsText" dxfId="633" priority="603" operator="containsText" text="LossMech">
      <formula>NOT(ISERROR(SEARCH("LossMech",BP68)))</formula>
    </cfRule>
    <cfRule type="containsText" dxfId="632" priority="604" operator="containsText" text="HazardMech">
      <formula>NOT(ISERROR(SEARCH("HazardMech",BP68)))</formula>
    </cfRule>
    <cfRule type="containsText" dxfId="631" priority="605" operator="containsText" text="MajorMech">
      <formula>NOT(ISERROR(SEARCH("MajorMech",BP68)))</formula>
    </cfRule>
    <cfRule type="containsText" dxfId="630" priority="606" operator="containsText" text="MinorMech">
      <formula>NOT(ISERROR(SEARCH("MinorMech",BP68)))</formula>
    </cfRule>
    <cfRule type="containsText" dxfId="629" priority="607" operator="containsText" text="Working">
      <formula>NOT(ISERROR(SEARCH("Working",BP68)))</formula>
    </cfRule>
  </conditionalFormatting>
  <conditionalFormatting sqref="BQ69">
    <cfRule type="containsText" dxfId="628" priority="598" operator="containsText" text="LossMech">
      <formula>NOT(ISERROR(SEARCH("LossMech",BQ69)))</formula>
    </cfRule>
    <cfRule type="containsText" dxfId="627" priority="599" operator="containsText" text="HazardMech">
      <formula>NOT(ISERROR(SEARCH("HazardMech",BQ69)))</formula>
    </cfRule>
    <cfRule type="containsText" dxfId="626" priority="600" operator="containsText" text="MajorMech">
      <formula>NOT(ISERROR(SEARCH("MajorMech",BQ69)))</formula>
    </cfRule>
    <cfRule type="containsText" dxfId="625" priority="601" operator="containsText" text="MinorMech">
      <formula>NOT(ISERROR(SEARCH("MinorMech",BQ69)))</formula>
    </cfRule>
    <cfRule type="containsText" dxfId="624" priority="602" operator="containsText" text="Working">
      <formula>NOT(ISERROR(SEARCH("Working",BQ69)))</formula>
    </cfRule>
  </conditionalFormatting>
  <conditionalFormatting sqref="BP70">
    <cfRule type="containsText" dxfId="623" priority="593" operator="containsText" text="LossMech">
      <formula>NOT(ISERROR(SEARCH("LossMech",BP70)))</formula>
    </cfRule>
    <cfRule type="containsText" dxfId="622" priority="594" operator="containsText" text="HazardMech">
      <formula>NOT(ISERROR(SEARCH("HazardMech",BP70)))</formula>
    </cfRule>
    <cfRule type="containsText" dxfId="621" priority="595" operator="containsText" text="MajorMech">
      <formula>NOT(ISERROR(SEARCH("MajorMech",BP70)))</formula>
    </cfRule>
    <cfRule type="containsText" dxfId="620" priority="596" operator="containsText" text="MinorMech">
      <formula>NOT(ISERROR(SEARCH("MinorMech",BP70)))</formula>
    </cfRule>
    <cfRule type="containsText" dxfId="619" priority="597" operator="containsText" text="Working">
      <formula>NOT(ISERROR(SEARCH("Working",BP70)))</formula>
    </cfRule>
  </conditionalFormatting>
  <conditionalFormatting sqref="BR68">
    <cfRule type="containsText" dxfId="618" priority="588" operator="containsText" text="LossMech">
      <formula>NOT(ISERROR(SEARCH("LossMech",BR68)))</formula>
    </cfRule>
    <cfRule type="containsText" dxfId="617" priority="589" operator="containsText" text="HazardMech">
      <formula>NOT(ISERROR(SEARCH("HazardMech",BR68)))</formula>
    </cfRule>
    <cfRule type="containsText" dxfId="616" priority="590" operator="containsText" text="MajorMech">
      <formula>NOT(ISERROR(SEARCH("MajorMech",BR68)))</formula>
    </cfRule>
    <cfRule type="containsText" dxfId="615" priority="591" operator="containsText" text="MinorMech">
      <formula>NOT(ISERROR(SEARCH("MinorMech",BR68)))</formula>
    </cfRule>
    <cfRule type="containsText" dxfId="614" priority="592" operator="containsText" text="Working">
      <formula>NOT(ISERROR(SEARCH("Working",BR68)))</formula>
    </cfRule>
  </conditionalFormatting>
  <conditionalFormatting sqref="W68:X68 W69 Z68:AA68 X69:AA70 W71:AA72">
    <cfRule type="containsText" dxfId="613" priority="583" operator="containsText" text="LossMech">
      <formula>NOT(ISERROR(SEARCH("LossMech",W68)))</formula>
    </cfRule>
    <cfRule type="containsText" dxfId="612" priority="584" operator="containsText" text="HazardMech">
      <formula>NOT(ISERROR(SEARCH("HazardMech",W68)))</formula>
    </cfRule>
    <cfRule type="containsText" dxfId="611" priority="585" operator="containsText" text="MajorMech">
      <formula>NOT(ISERROR(SEARCH("MajorMech",W68)))</formula>
    </cfRule>
    <cfRule type="containsText" dxfId="610" priority="586" operator="containsText" text="MinorMech">
      <formula>NOT(ISERROR(SEARCH("MinorMech",W68)))</formula>
    </cfRule>
    <cfRule type="containsText" dxfId="609" priority="587" operator="containsText" text="Working">
      <formula>NOT(ISERROR(SEARCH("Working",W68)))</formula>
    </cfRule>
  </conditionalFormatting>
  <conditionalFormatting sqref="X69">
    <cfRule type="containsText" dxfId="608" priority="578" operator="containsText" text="LossMech">
      <formula>NOT(ISERROR(SEARCH("LossMech",X69)))</formula>
    </cfRule>
    <cfRule type="containsText" dxfId="607" priority="579" operator="containsText" text="HazardMech">
      <formula>NOT(ISERROR(SEARCH("HazardMech",X69)))</formula>
    </cfRule>
    <cfRule type="containsText" dxfId="606" priority="580" operator="containsText" text="MajorMech">
      <formula>NOT(ISERROR(SEARCH("MajorMech",X69)))</formula>
    </cfRule>
    <cfRule type="containsText" dxfId="605" priority="581" operator="containsText" text="MinorMech">
      <formula>NOT(ISERROR(SEARCH("MinorMech",X69)))</formula>
    </cfRule>
    <cfRule type="containsText" dxfId="604" priority="582" operator="containsText" text="Working">
      <formula>NOT(ISERROR(SEARCH("Working",X69)))</formula>
    </cfRule>
  </conditionalFormatting>
  <conditionalFormatting sqref="W70">
    <cfRule type="containsText" dxfId="603" priority="573" operator="containsText" text="LossMech">
      <formula>NOT(ISERROR(SEARCH("LossMech",W70)))</formula>
    </cfRule>
    <cfRule type="containsText" dxfId="602" priority="574" operator="containsText" text="HazardMech">
      <formula>NOT(ISERROR(SEARCH("HazardMech",W70)))</formula>
    </cfRule>
    <cfRule type="containsText" dxfId="601" priority="575" operator="containsText" text="MajorMech">
      <formula>NOT(ISERROR(SEARCH("MajorMech",W70)))</formula>
    </cfRule>
    <cfRule type="containsText" dxfId="600" priority="576" operator="containsText" text="MinorMech">
      <formula>NOT(ISERROR(SEARCH("MinorMech",W70)))</formula>
    </cfRule>
    <cfRule type="containsText" dxfId="599" priority="577" operator="containsText" text="Working">
      <formula>NOT(ISERROR(SEARCH("Working",W70)))</formula>
    </cfRule>
  </conditionalFormatting>
  <conditionalFormatting sqref="Y68">
    <cfRule type="containsText" dxfId="598" priority="568" operator="containsText" text="LossMech">
      <formula>NOT(ISERROR(SEARCH("LossMech",Y68)))</formula>
    </cfRule>
    <cfRule type="containsText" dxfId="597" priority="569" operator="containsText" text="HazardMech">
      <formula>NOT(ISERROR(SEARCH("HazardMech",Y68)))</formula>
    </cfRule>
    <cfRule type="containsText" dxfId="596" priority="570" operator="containsText" text="MajorMech">
      <formula>NOT(ISERROR(SEARCH("MajorMech",Y68)))</formula>
    </cfRule>
    <cfRule type="containsText" dxfId="595" priority="571" operator="containsText" text="MinorMech">
      <formula>NOT(ISERROR(SEARCH("MinorMech",Y68)))</formula>
    </cfRule>
    <cfRule type="containsText" dxfId="594" priority="572" operator="containsText" text="Working">
      <formula>NOT(ISERROR(SEARCH("Working",Y68)))</formula>
    </cfRule>
  </conditionalFormatting>
  <conditionalFormatting sqref="A19:C29 A1:C5 E19:L29 E1:L5 N1:U5 N7:U17 N19:U29 W12:AD17 W19:AD29 W1:AD3 AF19:AM29 AF1:AM3 AF31:AM41 W31:AD41 N31:U41 E31:L41 A31:C41 AF12:AM17 E7:L17 A7:C17 AO7:AV17 AO31:AV41 AO1:AV5 AO19:AV29 AX19:BE29 AX1:BE5 AX31:BE41 AX7:BE17 BG7:BN17 BG31:BN41 BG1:BN5 BG19:BN29 BP19:BW29 BP1:BW5 BP31:BW41 BP7:BW17 BY7:CF17 BY31:CF41 BY1:CF5 BY19:CF29 CH19:CX29 CH1:CX5 CH31:CX41 CH7:CX17 CZ7:XFD17 CZ31:XFD41 CZ1:XFD5 CZ19:XFD29 CZ137:XFD138 CH137:CX138 BY132:CF138 BP132:BW138 BG132:BN138 AX132:BE138 AO132:AV138 A132:C138 E132:L138 N132:U138 W132:AD138 AF132:AM138 CZ120:XFD128 CH120:CX128 BY120:CF130 BP120:BW130 BG120:BN130 AX120:BE130 AO120:AV130 A120:C130 E120:L130 N120:U130 W120:AD130 AF120:AM130 CZ107:XFD114 CH107:CX114 BY107:CF114 BP107:BW114 BG107:BN114 AX107:BE114 AO107:AV114 A107:C114 E107:L114 N107:U114 W107:AD114 AF107:AM114 CZ95:XFD101 CH95:CX101 BY95:CF101 BP95:BW101 BG95:BN101 AX95:BE101 AO95:AV101 A95:C101 E95:L101 N95:U101 W95:AD101 AF95:AM101 CZ82:XFD89 CH82:CX89 BY82:CF89 BP82:BW89 BG82:BN89 AX82:BE89 AO82:AV89 A82:C89 N82:U89 W82:AD89 AF82:AM89 CZ68:XFD76 A68:C76 CZ55:XFD66 CH55:CX66 BY55:CF66 BP55:BW66 BG55:BN66 AX55:BE66 AO55:AV66 A55:C66 E55:L66 N55:U66 W55:AD66 AF55:AM66 CZ43:XFD53 CH43:CX53 BY43:CF53 BP43:BW53 BG43:BN53 AX43:BE53 AO43:AV53 A43:C53 E43:L53 N43:U53 W43:AD53 AF43:AM53 AO79:AV80 AF79:AM80 W79:AD80 N79:U80 E79:L80 A79:C80 AX79:BE80 BG79:BN80 BP79:BW80 BY79:CF80 CH79:CX80 CZ79:XFD80 AF92:AM93 W92:AD93 N92:U93 E92:L93 A92:C93 AO92:AV93 AX92:BE93 BG92:BN93 BP92:BW93 BY92:CF93 CH92:CX93 CZ92:XFD93 AF104:AM105 W104:AD105 N104:U105 E104:L105 A104:C105 AO104:AV105 AX104:BE105 BG104:BN105 BP104:BW105 BY104:CF105 CH104:CX105 CZ104:XFD105 AF117:AM118 W117:AD118 N117:U118 E117:L118 A117:C118 AO117:AV118 AX117:BE118 BG117:BN118 BP117:BW118 BY117:CF118 CH117:CX118 CZ117:XFD118 E82:L89 E68:L76 W68:AD76 AX68:BE76 BG68:BN76 BP68:BW76 BY68:CF76 CH68:CX76 N68:U76 AF68:AM76 AO68:AV76 CH129:CM130 CV129:CV130 CH132:CM136 CV132:CV136 DE129:DE130 DE132:DE136 DN132:DN136 DN129:DN130 DW129:DW130 DW132:DW136 EF132:EF136 EF129:EF130 EO129:XFD130 EO132:XFD136 AF149:AM1048576 W149:AD1048576 N149:U1048576 E149:L1048576 A149:C1048576 AO149:AV1048576 AX149:BE1048576 BG149:BN1048576 BP149:BW1048576 BY149:CF1048576 CH149:CX1048576 CZ149:XFD1048576 AK7:AM11 AK4:AM5 W4:AB5 W7:AB11">
    <cfRule type="containsText" dxfId="593" priority="1683" operator="containsText" text="CatasElec">
      <formula>NOT(ISERROR(SEARCH("CatasElec",A1)))</formula>
    </cfRule>
    <cfRule type="containsText" dxfId="592" priority="1684" operator="containsText" text="HazardElec">
      <formula>NOT(ISERROR(SEARCH("HazardElec",A1)))</formula>
    </cfRule>
    <cfRule type="containsText" dxfId="591" priority="1685" operator="containsText" text="MajorElec">
      <formula>NOT(ISERROR(SEARCH("MajorElec",A1)))</formula>
    </cfRule>
    <cfRule type="containsText" dxfId="590" priority="1686" operator="containsText" text="MinorElec">
      <formula>NOT(ISERROR(SEARCH("MinorElec",A1)))</formula>
    </cfRule>
    <cfRule type="containsText" dxfId="589" priority="1687" operator="containsText" text="Working">
      <formula>NOT(ISERROR(SEARCH("Working",A1)))</formula>
    </cfRule>
  </conditionalFormatting>
  <conditionalFormatting sqref="A1:C5 E1:L5 N1:U5 W1:AD3 AF1:AM3 AO1:AV5 AX1:BE5 BG1:BN5 BP1:BW5 BY1:CF5 CH1:CX5 CZ1:XFD5 CZ7:XFD17 CH7:CX17 BY7:CF17 BP7:BW17 BG7:BN17 AX7:BE17 AO7:AV17 AF12:AM17 W12:AD17 N7:U17 E7:L17 A7:C17 A132:C138 E132:L138 N132:U138 W132:AD138 AF132:AM138 AO132:AV138 AX132:BE138 BG132:BN138 BP132:BW138 BY132:CF138 CH137:CX138 CZ137:XFD138 A120:C130 E120:L130 N120:U130 W120:AD130 AF120:AM130 AO120:AV130 AX120:BE130 BG120:BN130 BP120:BW130 BY120:CF130 CH120:CX128 CZ120:XFD128 A107:C114 E107:L114 N107:U114 W107:AD114 AF107:AM114 AO107:AV114 AX107:BE114 BG107:BN114 BP107:BW114 BY107:CF114 CH107:CX114 CZ107:XFD114 A95:C101 E95:L101 N95:U101 W95:AD101 AF95:AM101 AO95:AV101 AX95:BE101 BG95:BN101 BP95:BW101 BY95:CF101 CH95:CX101 CZ95:XFD101 A82:C89 N82:U89 W82:AD89 AF82:AM89 AO82:AV89 AX82:BE89 BG82:BN89 BP82:BW89 BY82:CF89 CH82:CX89 CZ82:XFD89 A68:C76 CZ68:XFD76 A55:C66 E55:L66 N55:U66 W55:AD66 AF55:AM66 AO55:AV66 AX55:BE66 BG55:BN66 BP55:BW66 BY55:CF66 CH55:CX66 CZ55:XFD66 A43:C53 E43:L53 N43:U53 W43:AD53 AF43:AM53 AO43:AV53 AX43:BE53 BG43:BN53 BP43:BW53 BY43:CF53 CH43:CX53 CZ43:XFD53 A31:C41 E31:L41 N31:U41 W31:AD41 AF31:AM41 AO31:AV41 AX31:BE41 BG31:BN41 BP31:BW41 BY31:CF41 CH31:CX41 CZ31:XFD41 A19:C29 E19:L29 N19:U29 W19:AD29 AF19:AM29 AO19:AV29 AX19:BE29 BG19:BN29 BP19:BW29 BY19:CF29 CH19:CX29 CZ19:XFD29 AO79:AV80 CZ79:XFD80 CH79:CX80 BY79:CF80 BP79:BW80 BG79:BN80 AX79:BE80 AF79:AM80 W79:AD80 N79:U80 E79:L80 A79:C80 CZ92:XFD93 CH92:CX93 BY92:CF93 BP92:BW93 BG92:BN93 AX92:BE93 AO92:AV93 AF92:AM93 W92:AD93 N92:U93 E92:L93 A92:C93 CZ104:XFD105 CH104:CX105 BY104:CF105 BP104:BW105 BG104:BN105 AX104:BE105 AO104:AV105 AF104:AM105 W104:AD105 N104:U105 E104:L105 A104:C105 CZ117:XFD118 CH117:CX118 BY117:CF118 BP117:BW118 BG117:BN118 AX117:BE118 AO117:AV118 AF117:AM118 W117:AD118 N117:U118 E117:L118 A117:C118 E82:L89 E68:L76 W68:AD76 AX68:BE76 BG68:BN76 BP68:BW76 BY68:CF76 CH68:CX76 N68:U76 AF68:AM76 AO68:AV76 CH129:CM130 CV129:CV130 CH132:CM136 CV132:CV136 DE129:DE130 DE132:DE136 DN132:DN136 DN129:DN130 DW129:DW130 DW132:DW136 EF132:EF136 EF129:EF130 EO129:XFD130 EO132:XFD136 CZ149:XFD1048576 CH149:CX1048576 BY149:CF1048576 BP149:BW1048576 BG149:BN1048576 AX149:BE1048576 AO149:AV1048576 AF149:AM1048576 W149:AD1048576 N149:U1048576 E149:L1048576 A149:C1048576 W7:AB11 AK7:AM11 AK4:AM5 W4:AB5">
    <cfRule type="containsText" dxfId="588" priority="1643" operator="containsText" text="HazardTemp">
      <formula>NOT(ISERROR(SEARCH("HazardTemp",A1)))</formula>
    </cfRule>
    <cfRule type="containsText" dxfId="587" priority="1644" operator="containsText" text="CatasTemp">
      <formula>NOT(ISERROR(SEARCH("CatasTemp",A1)))</formula>
    </cfRule>
    <cfRule type="containsText" dxfId="586" priority="1645" operator="containsText" text="MajorTemp">
      <formula>NOT(ISERROR(SEARCH("MajorTemp",A1)))</formula>
    </cfRule>
    <cfRule type="containsText" dxfId="585" priority="1646" operator="containsText" text="MinorTemp">
      <formula>NOT(ISERROR(SEARCH("MinorTemp",A1)))</formula>
    </cfRule>
    <cfRule type="containsText" dxfId="584" priority="1663" operator="containsText" text="CatasMech">
      <formula>NOT(ISERROR(SEARCH("CatasMech",A1)))</formula>
    </cfRule>
    <cfRule type="containsText" dxfId="583" priority="1664" operator="containsText" text="HazardMech">
      <formula>NOT(ISERROR(SEARCH("HazardMech",A1)))</formula>
    </cfRule>
    <cfRule type="containsText" dxfId="582" priority="1665" operator="containsText" text="MajorMech">
      <formula>NOT(ISERROR(SEARCH("MajorMech",A1)))</formula>
    </cfRule>
    <cfRule type="containsText" dxfId="581" priority="1666" operator="containsText" text="MinorMech">
      <formula>NOT(ISERROR(SEARCH("MinorMech",A1)))</formula>
    </cfRule>
    <cfRule type="containsText" dxfId="580" priority="1673" operator="containsText" text="CatasData">
      <formula>NOT(ISERROR(SEARCH("CatasData",A1)))</formula>
    </cfRule>
    <cfRule type="containsText" dxfId="579" priority="1674" operator="containsText" text="HazardDelay">
      <formula>NOT(ISERROR(SEARCH("HazardDelay",A1)))</formula>
    </cfRule>
    <cfRule type="containsText" dxfId="578" priority="1675" operator="containsText" text="MajorDelay">
      <formula>NOT(ISERROR(SEARCH("MajorDelay",A1)))</formula>
    </cfRule>
    <cfRule type="containsText" dxfId="577" priority="1676" operator="containsText" text="MinorDelay">
      <formula>NOT(ISERROR(SEARCH("MinorDelay",A1)))</formula>
    </cfRule>
    <cfRule type="containsText" dxfId="576" priority="1677" operator="containsText" text="Working">
      <formula>NOT(ISERROR(SEARCH("Working",A1)))</formula>
    </cfRule>
  </conditionalFormatting>
  <conditionalFormatting sqref="BY68:CC72 CH68:CL72 AF68:AJ72 AO68:AS72">
    <cfRule type="containsText" dxfId="575" priority="1218" operator="containsText" text="CatasCtrl">
      <formula>NOT(ISERROR(SEARCH("CatasCtrl",AF68)))</formula>
    </cfRule>
    <cfRule type="containsText" dxfId="574" priority="1219" operator="containsText" text="HazardCtrl">
      <formula>NOT(ISERROR(SEARCH("HazardCtrl",AF68)))</formula>
    </cfRule>
    <cfRule type="containsText" dxfId="573" priority="1220" operator="containsText" text="MajorCtrl">
      <formula>NOT(ISERROR(SEARCH("MajorCtrl",AF68)))</formula>
    </cfRule>
    <cfRule type="containsText" dxfId="572" priority="1221" operator="containsText" text="MinorCtrl">
      <formula>NOT(ISERROR(SEARCH("MinorCtrl",AF68)))</formula>
    </cfRule>
  </conditionalFormatting>
  <conditionalFormatting sqref="A77:C78 E77:L78 N77:U78 W77:AD78 AF77:AM78 AO77:AV78 AX77:BE78 BG77:BN78 BP77:BW78 BY77:CF78 CH77:CX78 CZ77:XFD78">
    <cfRule type="containsText" dxfId="571" priority="563" operator="containsText" text="CatasElec">
      <formula>NOT(ISERROR(SEARCH("CatasElec",A77)))</formula>
    </cfRule>
    <cfRule type="containsText" dxfId="570" priority="564" operator="containsText" text="HazardElec">
      <formula>NOT(ISERROR(SEARCH("HazardElec",A77)))</formula>
    </cfRule>
    <cfRule type="containsText" dxfId="569" priority="565" operator="containsText" text="MajorElec">
      <formula>NOT(ISERROR(SEARCH("MajorElec",A77)))</formula>
    </cfRule>
    <cfRule type="containsText" dxfId="568" priority="566" operator="containsText" text="MinorElec">
      <formula>NOT(ISERROR(SEARCH("MinorElec",A77)))</formula>
    </cfRule>
    <cfRule type="containsText" dxfId="567" priority="567" operator="containsText" text="Working">
      <formula>NOT(ISERROR(SEARCH("Working",A77)))</formula>
    </cfRule>
  </conditionalFormatting>
  <conditionalFormatting sqref="A77:C78 E77:L78 N77:U78 W77:AD78 AF77:AM78 AO77:AV78 AX77:BE78 BG77:BN78 BP77:BW78 BY77:CF78 CH77:CX78 CZ77:XFD78">
    <cfRule type="containsText" dxfId="566" priority="550" operator="containsText" text="HazardTemp">
      <formula>NOT(ISERROR(SEARCH("HazardTemp",A77)))</formula>
    </cfRule>
    <cfRule type="containsText" dxfId="565" priority="551" operator="containsText" text="CatasTemp">
      <formula>NOT(ISERROR(SEARCH("CatasTemp",A77)))</formula>
    </cfRule>
    <cfRule type="containsText" dxfId="564" priority="552" operator="containsText" text="MajorTemp">
      <formula>NOT(ISERROR(SEARCH("MajorTemp",A77)))</formula>
    </cfRule>
    <cfRule type="containsText" dxfId="563" priority="553" operator="containsText" text="MinorTemp">
      <formula>NOT(ISERROR(SEARCH("MinorTemp",A77)))</formula>
    </cfRule>
    <cfRule type="containsText" dxfId="562" priority="554" operator="containsText" text="CatasMech">
      <formula>NOT(ISERROR(SEARCH("CatasMech",A77)))</formula>
    </cfRule>
    <cfRule type="containsText" dxfId="561" priority="555" operator="containsText" text="HazardMech">
      <formula>NOT(ISERROR(SEARCH("HazardMech",A77)))</formula>
    </cfRule>
    <cfRule type="containsText" dxfId="560" priority="556" operator="containsText" text="MajorMech">
      <formula>NOT(ISERROR(SEARCH("MajorMech",A77)))</formula>
    </cfRule>
    <cfRule type="containsText" dxfId="559" priority="557" operator="containsText" text="MinorMech">
      <formula>NOT(ISERROR(SEARCH("MinorMech",A77)))</formula>
    </cfRule>
    <cfRule type="containsText" dxfId="558" priority="558" operator="containsText" text="CatasData">
      <formula>NOT(ISERROR(SEARCH("CatasData",A77)))</formula>
    </cfRule>
    <cfRule type="containsText" dxfId="557" priority="559" operator="containsText" text="HazardDelay">
      <formula>NOT(ISERROR(SEARCH("HazardDelay",A77)))</formula>
    </cfRule>
    <cfRule type="containsText" dxfId="556" priority="560" operator="containsText" text="MajorDelay">
      <formula>NOT(ISERROR(SEARCH("MajorDelay",A77)))</formula>
    </cfRule>
    <cfRule type="containsText" dxfId="555" priority="561" operator="containsText" text="MinorDelay">
      <formula>NOT(ISERROR(SEARCH("MinorDelay",A77)))</formula>
    </cfRule>
    <cfRule type="containsText" dxfId="554" priority="562" operator="containsText" text="Working">
      <formula>NOT(ISERROR(SEARCH("Working",A77)))</formula>
    </cfRule>
  </conditionalFormatting>
  <conditionalFormatting sqref="A90:C91 E90:L91 N90:U91 W90:AD91 AF90:AM91 AO90:AV91 AX90:BE91 BG90:BN91 BP90:BW91 BY90:CF91 CH90:CX91 CZ90:XFD91">
    <cfRule type="containsText" dxfId="553" priority="545" operator="containsText" text="CatasElec">
      <formula>NOT(ISERROR(SEARCH("CatasElec",A90)))</formula>
    </cfRule>
    <cfRule type="containsText" dxfId="552" priority="546" operator="containsText" text="HazardElec">
      <formula>NOT(ISERROR(SEARCH("HazardElec",A90)))</formula>
    </cfRule>
    <cfRule type="containsText" dxfId="551" priority="547" operator="containsText" text="MajorElec">
      <formula>NOT(ISERROR(SEARCH("MajorElec",A90)))</formula>
    </cfRule>
    <cfRule type="containsText" dxfId="550" priority="548" operator="containsText" text="MinorElec">
      <formula>NOT(ISERROR(SEARCH("MinorElec",A90)))</formula>
    </cfRule>
    <cfRule type="containsText" dxfId="549" priority="549" operator="containsText" text="Working">
      <formula>NOT(ISERROR(SEARCH("Working",A90)))</formula>
    </cfRule>
  </conditionalFormatting>
  <conditionalFormatting sqref="A90:C91 E90:L91 N90:U91 W90:AD91 AF90:AM91 AO90:AV91 AX90:BE91 BG90:BN91 BP90:BW91 BY90:CF91 CH90:CX91 CZ90:XFD91">
    <cfRule type="containsText" dxfId="548" priority="532" operator="containsText" text="HazardTemp">
      <formula>NOT(ISERROR(SEARCH("HazardTemp",A90)))</formula>
    </cfRule>
    <cfRule type="containsText" dxfId="547" priority="533" operator="containsText" text="CatasTemp">
      <formula>NOT(ISERROR(SEARCH("CatasTemp",A90)))</formula>
    </cfRule>
    <cfRule type="containsText" dxfId="546" priority="534" operator="containsText" text="MajorTemp">
      <formula>NOT(ISERROR(SEARCH("MajorTemp",A90)))</formula>
    </cfRule>
    <cfRule type="containsText" dxfId="545" priority="535" operator="containsText" text="MinorTemp">
      <formula>NOT(ISERROR(SEARCH("MinorTemp",A90)))</formula>
    </cfRule>
    <cfRule type="containsText" dxfId="544" priority="536" operator="containsText" text="CatasMech">
      <formula>NOT(ISERROR(SEARCH("CatasMech",A90)))</formula>
    </cfRule>
    <cfRule type="containsText" dxfId="543" priority="537" operator="containsText" text="HazardMech">
      <formula>NOT(ISERROR(SEARCH("HazardMech",A90)))</formula>
    </cfRule>
    <cfRule type="containsText" dxfId="542" priority="538" operator="containsText" text="MajorMech">
      <formula>NOT(ISERROR(SEARCH("MajorMech",A90)))</formula>
    </cfRule>
    <cfRule type="containsText" dxfId="541" priority="539" operator="containsText" text="MinorMech">
      <formula>NOT(ISERROR(SEARCH("MinorMech",A90)))</formula>
    </cfRule>
    <cfRule type="containsText" dxfId="540" priority="540" operator="containsText" text="CatasData">
      <formula>NOT(ISERROR(SEARCH("CatasData",A90)))</formula>
    </cfRule>
    <cfRule type="containsText" dxfId="539" priority="541" operator="containsText" text="HazardDelay">
      <formula>NOT(ISERROR(SEARCH("HazardDelay",A90)))</formula>
    </cfRule>
    <cfRule type="containsText" dxfId="538" priority="542" operator="containsText" text="MajorDelay">
      <formula>NOT(ISERROR(SEARCH("MajorDelay",A90)))</formula>
    </cfRule>
    <cfRule type="containsText" dxfId="537" priority="543" operator="containsText" text="MinorDelay">
      <formula>NOT(ISERROR(SEARCH("MinorDelay",A90)))</formula>
    </cfRule>
    <cfRule type="containsText" dxfId="536" priority="544" operator="containsText" text="Working">
      <formula>NOT(ISERROR(SEARCH("Working",A90)))</formula>
    </cfRule>
  </conditionalFormatting>
  <conditionalFormatting sqref="A102:C103 E102:L103 N102:U103 W102:AD103 AF102:AM103 AO102:AV103 AX102:BE103 BG102:BN103 BP102:BW103 BY102:CF103 CH102:CX103 CZ102:XFD103">
    <cfRule type="containsText" dxfId="535" priority="527" operator="containsText" text="CatasElec">
      <formula>NOT(ISERROR(SEARCH("CatasElec",A102)))</formula>
    </cfRule>
    <cfRule type="containsText" dxfId="534" priority="528" operator="containsText" text="HazardElec">
      <formula>NOT(ISERROR(SEARCH("HazardElec",A102)))</formula>
    </cfRule>
    <cfRule type="containsText" dxfId="533" priority="529" operator="containsText" text="MajorElec">
      <formula>NOT(ISERROR(SEARCH("MajorElec",A102)))</formula>
    </cfRule>
    <cfRule type="containsText" dxfId="532" priority="530" operator="containsText" text="MinorElec">
      <formula>NOT(ISERROR(SEARCH("MinorElec",A102)))</formula>
    </cfRule>
    <cfRule type="containsText" dxfId="531" priority="531" operator="containsText" text="Working">
      <formula>NOT(ISERROR(SEARCH("Working",A102)))</formula>
    </cfRule>
  </conditionalFormatting>
  <conditionalFormatting sqref="A102:C103 E102:L103 N102:U103 W102:AD103 AF102:AM103 AO102:AV103 AX102:BE103 BG102:BN103 BP102:BW103 BY102:CF103 CH102:CX103 CZ102:XFD103">
    <cfRule type="containsText" dxfId="530" priority="514" operator="containsText" text="HazardTemp">
      <formula>NOT(ISERROR(SEARCH("HazardTemp",A102)))</formula>
    </cfRule>
    <cfRule type="containsText" dxfId="529" priority="515" operator="containsText" text="CatasTemp">
      <formula>NOT(ISERROR(SEARCH("CatasTemp",A102)))</formula>
    </cfRule>
    <cfRule type="containsText" dxfId="528" priority="516" operator="containsText" text="MajorTemp">
      <formula>NOT(ISERROR(SEARCH("MajorTemp",A102)))</formula>
    </cfRule>
    <cfRule type="containsText" dxfId="527" priority="517" operator="containsText" text="MinorTemp">
      <formula>NOT(ISERROR(SEARCH("MinorTemp",A102)))</formula>
    </cfRule>
    <cfRule type="containsText" dxfId="526" priority="518" operator="containsText" text="CatasMech">
      <formula>NOT(ISERROR(SEARCH("CatasMech",A102)))</formula>
    </cfRule>
    <cfRule type="containsText" dxfId="525" priority="519" operator="containsText" text="HazardMech">
      <formula>NOT(ISERROR(SEARCH("HazardMech",A102)))</formula>
    </cfRule>
    <cfRule type="containsText" dxfId="524" priority="520" operator="containsText" text="MajorMech">
      <formula>NOT(ISERROR(SEARCH("MajorMech",A102)))</formula>
    </cfRule>
    <cfRule type="containsText" dxfId="523" priority="521" operator="containsText" text="MinorMech">
      <formula>NOT(ISERROR(SEARCH("MinorMech",A102)))</formula>
    </cfRule>
    <cfRule type="containsText" dxfId="522" priority="522" operator="containsText" text="CatasData">
      <formula>NOT(ISERROR(SEARCH("CatasData",A102)))</formula>
    </cfRule>
    <cfRule type="containsText" dxfId="521" priority="523" operator="containsText" text="HazardDelay">
      <formula>NOT(ISERROR(SEARCH("HazardDelay",A102)))</formula>
    </cfRule>
    <cfRule type="containsText" dxfId="520" priority="524" operator="containsText" text="MajorDelay">
      <formula>NOT(ISERROR(SEARCH("MajorDelay",A102)))</formula>
    </cfRule>
    <cfRule type="containsText" dxfId="519" priority="525" operator="containsText" text="MinorDelay">
      <formula>NOT(ISERROR(SEARCH("MinorDelay",A102)))</formula>
    </cfRule>
    <cfRule type="containsText" dxfId="518" priority="526" operator="containsText" text="Working">
      <formula>NOT(ISERROR(SEARCH("Working",A102)))</formula>
    </cfRule>
  </conditionalFormatting>
  <conditionalFormatting sqref="A115:C116 E115:L116 N115:U116 W115:AD116 AF115:AM116 AO115:AV116 AX115:BE116 BG115:BN116 BP115:BW116 BY115:CF116 CH115:CX116 CZ115:XFD116">
    <cfRule type="containsText" dxfId="517" priority="509" operator="containsText" text="CatasElec">
      <formula>NOT(ISERROR(SEARCH("CatasElec",A115)))</formula>
    </cfRule>
    <cfRule type="containsText" dxfId="516" priority="510" operator="containsText" text="HazardElec">
      <formula>NOT(ISERROR(SEARCH("HazardElec",A115)))</formula>
    </cfRule>
    <cfRule type="containsText" dxfId="515" priority="511" operator="containsText" text="MajorElec">
      <formula>NOT(ISERROR(SEARCH("MajorElec",A115)))</formula>
    </cfRule>
    <cfRule type="containsText" dxfId="514" priority="512" operator="containsText" text="MinorElec">
      <formula>NOT(ISERROR(SEARCH("MinorElec",A115)))</formula>
    </cfRule>
    <cfRule type="containsText" dxfId="513" priority="513" operator="containsText" text="Working">
      <formula>NOT(ISERROR(SEARCH("Working",A115)))</formula>
    </cfRule>
  </conditionalFormatting>
  <conditionalFormatting sqref="A115:C116 E115:L116 N115:U116 W115:AD116 AF115:AM116 AO115:AV116 AX115:BE116 BG115:BN116 BP115:BW116 BY115:CF116 CH115:CX116 CZ115:XFD116">
    <cfRule type="containsText" dxfId="512" priority="496" operator="containsText" text="HazardTemp">
      <formula>NOT(ISERROR(SEARCH("HazardTemp",A115)))</formula>
    </cfRule>
    <cfRule type="containsText" dxfId="511" priority="497" operator="containsText" text="CatasTemp">
      <formula>NOT(ISERROR(SEARCH("CatasTemp",A115)))</formula>
    </cfRule>
    <cfRule type="containsText" dxfId="510" priority="498" operator="containsText" text="MajorTemp">
      <formula>NOT(ISERROR(SEARCH("MajorTemp",A115)))</formula>
    </cfRule>
    <cfRule type="containsText" dxfId="509" priority="499" operator="containsText" text="MinorTemp">
      <formula>NOT(ISERROR(SEARCH("MinorTemp",A115)))</formula>
    </cfRule>
    <cfRule type="containsText" dxfId="508" priority="500" operator="containsText" text="CatasMech">
      <formula>NOT(ISERROR(SEARCH("CatasMech",A115)))</formula>
    </cfRule>
    <cfRule type="containsText" dxfId="507" priority="501" operator="containsText" text="HazardMech">
      <formula>NOT(ISERROR(SEARCH("HazardMech",A115)))</formula>
    </cfRule>
    <cfRule type="containsText" dxfId="506" priority="502" operator="containsText" text="MajorMech">
      <formula>NOT(ISERROR(SEARCH("MajorMech",A115)))</formula>
    </cfRule>
    <cfRule type="containsText" dxfId="505" priority="503" operator="containsText" text="MinorMech">
      <formula>NOT(ISERROR(SEARCH("MinorMech",A115)))</formula>
    </cfRule>
    <cfRule type="containsText" dxfId="504" priority="504" operator="containsText" text="CatasData">
      <formula>NOT(ISERROR(SEARCH("CatasData",A115)))</formula>
    </cfRule>
    <cfRule type="containsText" dxfId="503" priority="505" operator="containsText" text="HazardDelay">
      <formula>NOT(ISERROR(SEARCH("HazardDelay",A115)))</formula>
    </cfRule>
    <cfRule type="containsText" dxfId="502" priority="506" operator="containsText" text="MajorDelay">
      <formula>NOT(ISERROR(SEARCH("MajorDelay",A115)))</formula>
    </cfRule>
    <cfRule type="containsText" dxfId="501" priority="507" operator="containsText" text="MinorDelay">
      <formula>NOT(ISERROR(SEARCH("MinorDelay",A115)))</formula>
    </cfRule>
    <cfRule type="containsText" dxfId="500" priority="508" operator="containsText" text="Working">
      <formula>NOT(ISERROR(SEARCH("Working",A115)))</formula>
    </cfRule>
  </conditionalFormatting>
  <conditionalFormatting sqref="AX68:AY68 AX69 BA68:BB68 AY69:BB70 AX71:BB72">
    <cfRule type="containsText" dxfId="499" priority="486" operator="containsText" text="LossMech">
      <formula>NOT(ISERROR(SEARCH("LossMech",AX68)))</formula>
    </cfRule>
    <cfRule type="containsText" dxfId="498" priority="487" operator="containsText" text="HazardMech">
      <formula>NOT(ISERROR(SEARCH("HazardMech",AX68)))</formula>
    </cfRule>
    <cfRule type="containsText" dxfId="497" priority="488" operator="containsText" text="MajorMech">
      <formula>NOT(ISERROR(SEARCH("MajorMech",AX68)))</formula>
    </cfRule>
    <cfRule type="containsText" dxfId="496" priority="489" operator="containsText" text="MinorMech">
      <formula>NOT(ISERROR(SEARCH("MinorMech",AX68)))</formula>
    </cfRule>
    <cfRule type="containsText" dxfId="495" priority="490" operator="containsText" text="Working">
      <formula>NOT(ISERROR(SEARCH("Working",AX68)))</formula>
    </cfRule>
  </conditionalFormatting>
  <conditionalFormatting sqref="AY69">
    <cfRule type="containsText" dxfId="494" priority="481" operator="containsText" text="LossMech">
      <formula>NOT(ISERROR(SEARCH("LossMech",AY69)))</formula>
    </cfRule>
    <cfRule type="containsText" dxfId="493" priority="482" operator="containsText" text="HazardMech">
      <formula>NOT(ISERROR(SEARCH("HazardMech",AY69)))</formula>
    </cfRule>
    <cfRule type="containsText" dxfId="492" priority="483" operator="containsText" text="MajorMech">
      <formula>NOT(ISERROR(SEARCH("MajorMech",AY69)))</formula>
    </cfRule>
    <cfRule type="containsText" dxfId="491" priority="484" operator="containsText" text="MinorMech">
      <formula>NOT(ISERROR(SEARCH("MinorMech",AY69)))</formula>
    </cfRule>
    <cfRule type="containsText" dxfId="490" priority="485" operator="containsText" text="Working">
      <formula>NOT(ISERROR(SEARCH("Working",AY69)))</formula>
    </cfRule>
  </conditionalFormatting>
  <conditionalFormatting sqref="AX70">
    <cfRule type="containsText" dxfId="489" priority="476" operator="containsText" text="LossMech">
      <formula>NOT(ISERROR(SEARCH("LossMech",AX70)))</formula>
    </cfRule>
    <cfRule type="containsText" dxfId="488" priority="477" operator="containsText" text="HazardMech">
      <formula>NOT(ISERROR(SEARCH("HazardMech",AX70)))</formula>
    </cfRule>
    <cfRule type="containsText" dxfId="487" priority="478" operator="containsText" text="MajorMech">
      <formula>NOT(ISERROR(SEARCH("MajorMech",AX70)))</formula>
    </cfRule>
    <cfRule type="containsText" dxfId="486" priority="479" operator="containsText" text="MinorMech">
      <formula>NOT(ISERROR(SEARCH("MinorMech",AX70)))</formula>
    </cfRule>
    <cfRule type="containsText" dxfId="485" priority="480" operator="containsText" text="Working">
      <formula>NOT(ISERROR(SEARCH("Working",AX70)))</formula>
    </cfRule>
  </conditionalFormatting>
  <conditionalFormatting sqref="AZ68">
    <cfRule type="containsText" dxfId="484" priority="471" operator="containsText" text="LossMech">
      <formula>NOT(ISERROR(SEARCH("LossMech",AZ68)))</formula>
    </cfRule>
    <cfRule type="containsText" dxfId="483" priority="472" operator="containsText" text="HazardMech">
      <formula>NOT(ISERROR(SEARCH("HazardMech",AZ68)))</formula>
    </cfRule>
    <cfRule type="containsText" dxfId="482" priority="473" operator="containsText" text="MajorMech">
      <formula>NOT(ISERROR(SEARCH("MajorMech",AZ68)))</formula>
    </cfRule>
    <cfRule type="containsText" dxfId="481" priority="474" operator="containsText" text="MinorMech">
      <formula>NOT(ISERROR(SEARCH("MinorMech",AZ68)))</formula>
    </cfRule>
    <cfRule type="containsText" dxfId="480" priority="475" operator="containsText" text="Working">
      <formula>NOT(ISERROR(SEARCH("Working",AZ68)))</formula>
    </cfRule>
  </conditionalFormatting>
  <conditionalFormatting sqref="BG68:BH68 BG69 BJ68:BK68 BH69:BK70 BG71:BK72">
    <cfRule type="containsText" dxfId="479" priority="466" operator="containsText" text="LossMech">
      <formula>NOT(ISERROR(SEARCH("LossMech",BG68)))</formula>
    </cfRule>
    <cfRule type="containsText" dxfId="478" priority="467" operator="containsText" text="HazardMech">
      <formula>NOT(ISERROR(SEARCH("HazardMech",BG68)))</formula>
    </cfRule>
    <cfRule type="containsText" dxfId="477" priority="468" operator="containsText" text="MajorMech">
      <formula>NOT(ISERROR(SEARCH("MajorMech",BG68)))</formula>
    </cfRule>
    <cfRule type="containsText" dxfId="476" priority="469" operator="containsText" text="MinorMech">
      <formula>NOT(ISERROR(SEARCH("MinorMech",BG68)))</formula>
    </cfRule>
    <cfRule type="containsText" dxfId="475" priority="470" operator="containsText" text="Working">
      <formula>NOT(ISERROR(SEARCH("Working",BG68)))</formula>
    </cfRule>
  </conditionalFormatting>
  <conditionalFormatting sqref="BH69">
    <cfRule type="containsText" dxfId="474" priority="461" operator="containsText" text="LossMech">
      <formula>NOT(ISERROR(SEARCH("LossMech",BH69)))</formula>
    </cfRule>
    <cfRule type="containsText" dxfId="473" priority="462" operator="containsText" text="HazardMech">
      <formula>NOT(ISERROR(SEARCH("HazardMech",BH69)))</formula>
    </cfRule>
    <cfRule type="containsText" dxfId="472" priority="463" operator="containsText" text="MajorMech">
      <formula>NOT(ISERROR(SEARCH("MajorMech",BH69)))</formula>
    </cfRule>
    <cfRule type="containsText" dxfId="471" priority="464" operator="containsText" text="MinorMech">
      <formula>NOT(ISERROR(SEARCH("MinorMech",BH69)))</formula>
    </cfRule>
    <cfRule type="containsText" dxfId="470" priority="465" operator="containsText" text="Working">
      <formula>NOT(ISERROR(SEARCH("Working",BH69)))</formula>
    </cfRule>
  </conditionalFormatting>
  <conditionalFormatting sqref="BG70">
    <cfRule type="containsText" dxfId="469" priority="456" operator="containsText" text="LossMech">
      <formula>NOT(ISERROR(SEARCH("LossMech",BG70)))</formula>
    </cfRule>
    <cfRule type="containsText" dxfId="468" priority="457" operator="containsText" text="HazardMech">
      <formula>NOT(ISERROR(SEARCH("HazardMech",BG70)))</formula>
    </cfRule>
    <cfRule type="containsText" dxfId="467" priority="458" operator="containsText" text="MajorMech">
      <formula>NOT(ISERROR(SEARCH("MajorMech",BG70)))</formula>
    </cfRule>
    <cfRule type="containsText" dxfId="466" priority="459" operator="containsText" text="MinorMech">
      <formula>NOT(ISERROR(SEARCH("MinorMech",BG70)))</formula>
    </cfRule>
    <cfRule type="containsText" dxfId="465" priority="460" operator="containsText" text="Working">
      <formula>NOT(ISERROR(SEARCH("Working",BG70)))</formula>
    </cfRule>
  </conditionalFormatting>
  <conditionalFormatting sqref="BI68">
    <cfRule type="containsText" dxfId="464" priority="451" operator="containsText" text="LossMech">
      <formula>NOT(ISERROR(SEARCH("LossMech",BI68)))</formula>
    </cfRule>
    <cfRule type="containsText" dxfId="463" priority="452" operator="containsText" text="HazardMech">
      <formula>NOT(ISERROR(SEARCH("HazardMech",BI68)))</formula>
    </cfRule>
    <cfRule type="containsText" dxfId="462" priority="453" operator="containsText" text="MajorMech">
      <formula>NOT(ISERROR(SEARCH("MajorMech",BI68)))</formula>
    </cfRule>
    <cfRule type="containsText" dxfId="461" priority="454" operator="containsText" text="MinorMech">
      <formula>NOT(ISERROR(SEARCH("MinorMech",BI68)))</formula>
    </cfRule>
    <cfRule type="containsText" dxfId="460" priority="455" operator="containsText" text="Working">
      <formula>NOT(ISERROR(SEARCH("Working",BI68)))</formula>
    </cfRule>
  </conditionalFormatting>
  <conditionalFormatting sqref="BP68:BQ68 BP69 BS68:BT68 BQ69:BT70 BP71:BT72">
    <cfRule type="containsText" dxfId="459" priority="446" operator="containsText" text="LossMech">
      <formula>NOT(ISERROR(SEARCH("LossMech",BP68)))</formula>
    </cfRule>
    <cfRule type="containsText" dxfId="458" priority="447" operator="containsText" text="HazardMech">
      <formula>NOT(ISERROR(SEARCH("HazardMech",BP68)))</formula>
    </cfRule>
    <cfRule type="containsText" dxfId="457" priority="448" operator="containsText" text="MajorMech">
      <formula>NOT(ISERROR(SEARCH("MajorMech",BP68)))</formula>
    </cfRule>
    <cfRule type="containsText" dxfId="456" priority="449" operator="containsText" text="MinorMech">
      <formula>NOT(ISERROR(SEARCH("MinorMech",BP68)))</formula>
    </cfRule>
    <cfRule type="containsText" dxfId="455" priority="450" operator="containsText" text="Working">
      <formula>NOT(ISERROR(SEARCH("Working",BP68)))</formula>
    </cfRule>
  </conditionalFormatting>
  <conditionalFormatting sqref="BQ69">
    <cfRule type="containsText" dxfId="454" priority="441" operator="containsText" text="LossMech">
      <formula>NOT(ISERROR(SEARCH("LossMech",BQ69)))</formula>
    </cfRule>
    <cfRule type="containsText" dxfId="453" priority="442" operator="containsText" text="HazardMech">
      <formula>NOT(ISERROR(SEARCH("HazardMech",BQ69)))</formula>
    </cfRule>
    <cfRule type="containsText" dxfId="452" priority="443" operator="containsText" text="MajorMech">
      <formula>NOT(ISERROR(SEARCH("MajorMech",BQ69)))</formula>
    </cfRule>
    <cfRule type="containsText" dxfId="451" priority="444" operator="containsText" text="MinorMech">
      <formula>NOT(ISERROR(SEARCH("MinorMech",BQ69)))</formula>
    </cfRule>
    <cfRule type="containsText" dxfId="450" priority="445" operator="containsText" text="Working">
      <formula>NOT(ISERROR(SEARCH("Working",BQ69)))</formula>
    </cfRule>
  </conditionalFormatting>
  <conditionalFormatting sqref="BP70">
    <cfRule type="containsText" dxfId="449" priority="436" operator="containsText" text="LossMech">
      <formula>NOT(ISERROR(SEARCH("LossMech",BP70)))</formula>
    </cfRule>
    <cfRule type="containsText" dxfId="448" priority="437" operator="containsText" text="HazardMech">
      <formula>NOT(ISERROR(SEARCH("HazardMech",BP70)))</formula>
    </cfRule>
    <cfRule type="containsText" dxfId="447" priority="438" operator="containsText" text="MajorMech">
      <formula>NOT(ISERROR(SEARCH("MajorMech",BP70)))</formula>
    </cfRule>
    <cfRule type="containsText" dxfId="446" priority="439" operator="containsText" text="MinorMech">
      <formula>NOT(ISERROR(SEARCH("MinorMech",BP70)))</formula>
    </cfRule>
    <cfRule type="containsText" dxfId="445" priority="440" operator="containsText" text="Working">
      <formula>NOT(ISERROR(SEARCH("Working",BP70)))</formula>
    </cfRule>
  </conditionalFormatting>
  <conditionalFormatting sqref="BR68">
    <cfRule type="containsText" dxfId="444" priority="431" operator="containsText" text="LossMech">
      <formula>NOT(ISERROR(SEARCH("LossMech",BR68)))</formula>
    </cfRule>
    <cfRule type="containsText" dxfId="443" priority="432" operator="containsText" text="HazardMech">
      <formula>NOT(ISERROR(SEARCH("HazardMech",BR68)))</formula>
    </cfRule>
    <cfRule type="containsText" dxfId="442" priority="433" operator="containsText" text="MajorMech">
      <formula>NOT(ISERROR(SEARCH("MajorMech",BR68)))</formula>
    </cfRule>
    <cfRule type="containsText" dxfId="441" priority="434" operator="containsText" text="MinorMech">
      <formula>NOT(ISERROR(SEARCH("MinorMech",BR68)))</formula>
    </cfRule>
    <cfRule type="containsText" dxfId="440" priority="435" operator="containsText" text="Working">
      <formula>NOT(ISERROR(SEARCH("Working",BR68)))</formula>
    </cfRule>
  </conditionalFormatting>
  <conditionalFormatting sqref="BY69 BY68:BZ68 CB68:CC68 CC69:CC72 BZ69:CC70 BY71:CC72">
    <cfRule type="containsText" dxfId="439" priority="426" operator="containsText" text="LossMech">
      <formula>NOT(ISERROR(SEARCH("LossMech",BY68)))</formula>
    </cfRule>
    <cfRule type="containsText" dxfId="438" priority="427" operator="containsText" text="HazardMech">
      <formula>NOT(ISERROR(SEARCH("HazardMech",BY68)))</formula>
    </cfRule>
    <cfRule type="containsText" dxfId="437" priority="428" operator="containsText" text="MajorMech">
      <formula>NOT(ISERROR(SEARCH("MajorMech",BY68)))</formula>
    </cfRule>
    <cfRule type="containsText" dxfId="436" priority="429" operator="containsText" text="MinorMech">
      <formula>NOT(ISERROR(SEARCH("MinorMech",BY68)))</formula>
    </cfRule>
    <cfRule type="containsText" dxfId="435" priority="430" operator="containsText" text="Working">
      <formula>NOT(ISERROR(SEARCH("Working",BY68)))</formula>
    </cfRule>
  </conditionalFormatting>
  <conditionalFormatting sqref="BZ68:BZ69">
    <cfRule type="containsText" dxfId="434" priority="421" operator="containsText" text="LossMech">
      <formula>NOT(ISERROR(SEARCH("LossMech",BZ68)))</formula>
    </cfRule>
    <cfRule type="containsText" dxfId="433" priority="422" operator="containsText" text="HazardMech">
      <formula>NOT(ISERROR(SEARCH("HazardMech",BZ68)))</formula>
    </cfRule>
    <cfRule type="containsText" dxfId="432" priority="423" operator="containsText" text="MajorMech">
      <formula>NOT(ISERROR(SEARCH("MajorMech",BZ68)))</formula>
    </cfRule>
    <cfRule type="containsText" dxfId="431" priority="424" operator="containsText" text="MinorMech">
      <formula>NOT(ISERROR(SEARCH("MinorMech",BZ68)))</formula>
    </cfRule>
    <cfRule type="containsText" dxfId="430" priority="425" operator="containsText" text="Working">
      <formula>NOT(ISERROR(SEARCH("Working",BZ68)))</formula>
    </cfRule>
  </conditionalFormatting>
  <conditionalFormatting sqref="BY70">
    <cfRule type="containsText" dxfId="429" priority="416" operator="containsText" text="LossMech">
      <formula>NOT(ISERROR(SEARCH("LossMech",BY70)))</formula>
    </cfRule>
    <cfRule type="containsText" dxfId="428" priority="417" operator="containsText" text="HazardMech">
      <formula>NOT(ISERROR(SEARCH("HazardMech",BY70)))</formula>
    </cfRule>
    <cfRule type="containsText" dxfId="427" priority="418" operator="containsText" text="MajorMech">
      <formula>NOT(ISERROR(SEARCH("MajorMech",BY70)))</formula>
    </cfRule>
    <cfRule type="containsText" dxfId="426" priority="419" operator="containsText" text="MinorMech">
      <formula>NOT(ISERROR(SEARCH("MinorMech",BY70)))</formula>
    </cfRule>
    <cfRule type="containsText" dxfId="425" priority="420" operator="containsText" text="Working">
      <formula>NOT(ISERROR(SEARCH("Working",BY70)))</formula>
    </cfRule>
  </conditionalFormatting>
  <conditionalFormatting sqref="CA68">
    <cfRule type="containsText" dxfId="424" priority="411" operator="containsText" text="LossMech">
      <formula>NOT(ISERROR(SEARCH("LossMech",CA68)))</formula>
    </cfRule>
    <cfRule type="containsText" dxfId="423" priority="412" operator="containsText" text="HazardMech">
      <formula>NOT(ISERROR(SEARCH("HazardMech",CA68)))</formula>
    </cfRule>
    <cfRule type="containsText" dxfId="422" priority="413" operator="containsText" text="MajorMech">
      <formula>NOT(ISERROR(SEARCH("MajorMech",CA68)))</formula>
    </cfRule>
    <cfRule type="containsText" dxfId="421" priority="414" operator="containsText" text="MinorMech">
      <formula>NOT(ISERROR(SEARCH("MinorMech",CA68)))</formula>
    </cfRule>
    <cfRule type="containsText" dxfId="420" priority="415" operator="containsText" text="Working">
      <formula>NOT(ISERROR(SEARCH("Working",CA68)))</formula>
    </cfRule>
  </conditionalFormatting>
  <conditionalFormatting sqref="CH68:CL72">
    <cfRule type="containsText" dxfId="419" priority="406" operator="containsText" text="LossCtrl">
      <formula>NOT(ISERROR(SEARCH("LossCtrl",CH68)))</formula>
    </cfRule>
    <cfRule type="containsText" dxfId="418" priority="407" operator="containsText" text="HazardCtrl">
      <formula>NOT(ISERROR(SEARCH("HazardCtrl",CH68)))</formula>
    </cfRule>
    <cfRule type="containsText" dxfId="417" priority="408" operator="containsText" text="MajorCtrl">
      <formula>NOT(ISERROR(SEARCH("MajorCtrl",CH68)))</formula>
    </cfRule>
    <cfRule type="containsText" dxfId="416" priority="409" operator="containsText" text="MinorCtrl">
      <formula>NOT(ISERROR(SEARCH("MinorCtrl",CH68)))</formula>
    </cfRule>
    <cfRule type="containsText" dxfId="415" priority="410" operator="containsText" text="Working">
      <formula>NOT(ISERROR(SEARCH("Working",CH68)))</formula>
    </cfRule>
  </conditionalFormatting>
  <conditionalFormatting sqref="CH69 CH68:CI68 CK68:CL68 CL69:CL72 CI69:CK70 CH71:CK72">
    <cfRule type="containsText" dxfId="414" priority="401" operator="containsText" text="LossMech">
      <formula>NOT(ISERROR(SEARCH("LossMech",CH68)))</formula>
    </cfRule>
    <cfRule type="containsText" dxfId="413" priority="402" operator="containsText" text="HazardMech">
      <formula>NOT(ISERROR(SEARCH("HazardMech",CH68)))</formula>
    </cfRule>
    <cfRule type="containsText" dxfId="412" priority="403" operator="containsText" text="MajorMech">
      <formula>NOT(ISERROR(SEARCH("MajorMech",CH68)))</formula>
    </cfRule>
    <cfRule type="containsText" dxfId="411" priority="404" operator="containsText" text="MinorMech">
      <formula>NOT(ISERROR(SEARCH("MinorMech",CH68)))</formula>
    </cfRule>
    <cfRule type="containsText" dxfId="410" priority="405" operator="containsText" text="Working">
      <formula>NOT(ISERROR(SEARCH("Working",CH68)))</formula>
    </cfRule>
  </conditionalFormatting>
  <conditionalFormatting sqref="CI68:CI69">
    <cfRule type="containsText" dxfId="409" priority="396" operator="containsText" text="LossMech">
      <formula>NOT(ISERROR(SEARCH("LossMech",CI68)))</formula>
    </cfRule>
    <cfRule type="containsText" dxfId="408" priority="397" operator="containsText" text="HazardMech">
      <formula>NOT(ISERROR(SEARCH("HazardMech",CI68)))</formula>
    </cfRule>
    <cfRule type="containsText" dxfId="407" priority="398" operator="containsText" text="MajorMech">
      <formula>NOT(ISERROR(SEARCH("MajorMech",CI68)))</formula>
    </cfRule>
    <cfRule type="containsText" dxfId="406" priority="399" operator="containsText" text="MinorMech">
      <formula>NOT(ISERROR(SEARCH("MinorMech",CI68)))</formula>
    </cfRule>
    <cfRule type="containsText" dxfId="405" priority="400" operator="containsText" text="Working">
      <formula>NOT(ISERROR(SEARCH("Working",CI68)))</formula>
    </cfRule>
  </conditionalFormatting>
  <conditionalFormatting sqref="CH70">
    <cfRule type="containsText" dxfId="404" priority="391" operator="containsText" text="LossMech">
      <formula>NOT(ISERROR(SEARCH("LossMech",CH70)))</formula>
    </cfRule>
    <cfRule type="containsText" dxfId="403" priority="392" operator="containsText" text="HazardMech">
      <formula>NOT(ISERROR(SEARCH("HazardMech",CH70)))</formula>
    </cfRule>
    <cfRule type="containsText" dxfId="402" priority="393" operator="containsText" text="MajorMech">
      <formula>NOT(ISERROR(SEARCH("MajorMech",CH70)))</formula>
    </cfRule>
    <cfRule type="containsText" dxfId="401" priority="394" operator="containsText" text="MinorMech">
      <formula>NOT(ISERROR(SEARCH("MinorMech",CH70)))</formula>
    </cfRule>
    <cfRule type="containsText" dxfId="400" priority="395" operator="containsText" text="Working">
      <formula>NOT(ISERROR(SEARCH("Working",CH70)))</formula>
    </cfRule>
  </conditionalFormatting>
  <conditionalFormatting sqref="CJ68">
    <cfRule type="containsText" dxfId="399" priority="386" operator="containsText" text="LossMech">
      <formula>NOT(ISERROR(SEARCH("LossMech",CJ68)))</formula>
    </cfRule>
    <cfRule type="containsText" dxfId="398" priority="387" operator="containsText" text="HazardMech">
      <formula>NOT(ISERROR(SEARCH("HazardMech",CJ68)))</formula>
    </cfRule>
    <cfRule type="containsText" dxfId="397" priority="388" operator="containsText" text="MajorMech">
      <formula>NOT(ISERROR(SEARCH("MajorMech",CJ68)))</formula>
    </cfRule>
    <cfRule type="containsText" dxfId="396" priority="389" operator="containsText" text="MinorMech">
      <formula>NOT(ISERROR(SEARCH("MinorMech",CJ68)))</formula>
    </cfRule>
    <cfRule type="containsText" dxfId="395" priority="390" operator="containsText" text="Working">
      <formula>NOT(ISERROR(SEARCH("Working",CJ68)))</formula>
    </cfRule>
  </conditionalFormatting>
  <conditionalFormatting sqref="N68 N72:Q72 R68:R72 Q70:Q71 P71">
    <cfRule type="containsText" dxfId="394" priority="381" operator="containsText" text="LossMech">
      <formula>NOT(ISERROR(SEARCH("LossMech",N68)))</formula>
    </cfRule>
    <cfRule type="containsText" dxfId="393" priority="382" operator="containsText" text="HazardMech">
      <formula>NOT(ISERROR(SEARCH("HazardMech",N68)))</formula>
    </cfRule>
    <cfRule type="containsText" dxfId="392" priority="383" operator="containsText" text="MajorMech">
      <formula>NOT(ISERROR(SEARCH("MajorMech",N68)))</formula>
    </cfRule>
    <cfRule type="containsText" dxfId="391" priority="384" operator="containsText" text="MinorMech">
      <formula>NOT(ISERROR(SEARCH("MinorMech",N68)))</formula>
    </cfRule>
    <cfRule type="containsText" dxfId="390" priority="385" operator="containsText" text="Working">
      <formula>NOT(ISERROR(SEARCH("Working",N68)))</formula>
    </cfRule>
  </conditionalFormatting>
  <conditionalFormatting sqref="N69:O69 O68">
    <cfRule type="containsText" dxfId="389" priority="376" operator="containsText" text="LossMech">
      <formula>NOT(ISERROR(SEARCH("LossMech",N68)))</formula>
    </cfRule>
    <cfRule type="containsText" dxfId="388" priority="377" operator="containsText" text="HazardMech">
      <formula>NOT(ISERROR(SEARCH("HazardMech",N68)))</formula>
    </cfRule>
    <cfRule type="containsText" dxfId="387" priority="378" operator="containsText" text="MajorMech">
      <formula>NOT(ISERROR(SEARCH("MajorMech",N68)))</formula>
    </cfRule>
    <cfRule type="containsText" dxfId="386" priority="379" operator="containsText" text="MinorMech">
      <formula>NOT(ISERROR(SEARCH("MinorMech",N68)))</formula>
    </cfRule>
    <cfRule type="containsText" dxfId="385" priority="380" operator="containsText" text="Working">
      <formula>NOT(ISERROR(SEARCH("Working",N68)))</formula>
    </cfRule>
  </conditionalFormatting>
  <conditionalFormatting sqref="N70:O70 P68:P70">
    <cfRule type="containsText" dxfId="384" priority="371" operator="containsText" text="LossMech">
      <formula>NOT(ISERROR(SEARCH("LossMech",N68)))</formula>
    </cfRule>
    <cfRule type="containsText" dxfId="383" priority="372" operator="containsText" text="HazardMech">
      <formula>NOT(ISERROR(SEARCH("HazardMech",N68)))</formula>
    </cfRule>
    <cfRule type="containsText" dxfId="382" priority="373" operator="containsText" text="MajorMech">
      <formula>NOT(ISERROR(SEARCH("MajorMech",N68)))</formula>
    </cfRule>
    <cfRule type="containsText" dxfId="381" priority="374" operator="containsText" text="MinorMech">
      <formula>NOT(ISERROR(SEARCH("MinorMech",N68)))</formula>
    </cfRule>
    <cfRule type="containsText" dxfId="380" priority="375" operator="containsText" text="Working">
      <formula>NOT(ISERROR(SEARCH("Working",N68)))</formula>
    </cfRule>
  </conditionalFormatting>
  <conditionalFormatting sqref="Q68:Q71 N71:P71">
    <cfRule type="containsText" dxfId="379" priority="366" operator="containsText" text="LossMech">
      <formula>NOT(ISERROR(SEARCH("LossMech",N68)))</formula>
    </cfRule>
    <cfRule type="containsText" dxfId="378" priority="367" operator="containsText" text="HazardMech">
      <formula>NOT(ISERROR(SEARCH("HazardMech",N68)))</formula>
    </cfRule>
    <cfRule type="containsText" dxfId="377" priority="368" operator="containsText" text="MajorMech">
      <formula>NOT(ISERROR(SEARCH("MajorMech",N68)))</formula>
    </cfRule>
    <cfRule type="containsText" dxfId="376" priority="369" operator="containsText" text="MinorMech">
      <formula>NOT(ISERROR(SEARCH("MinorMech",N68)))</formula>
    </cfRule>
    <cfRule type="containsText" dxfId="375" priority="370" operator="containsText" text="Working">
      <formula>NOT(ISERROR(SEARCH("Working",N68)))</formula>
    </cfRule>
  </conditionalFormatting>
  <conditionalFormatting sqref="P70">
    <cfRule type="containsText" dxfId="374" priority="361" operator="containsText" text="LossMech">
      <formula>NOT(ISERROR(SEARCH("LossMech",P70)))</formula>
    </cfRule>
    <cfRule type="containsText" dxfId="373" priority="362" operator="containsText" text="HazardMech">
      <formula>NOT(ISERROR(SEARCH("HazardMech",P70)))</formula>
    </cfRule>
    <cfRule type="containsText" dxfId="372" priority="363" operator="containsText" text="MajorMech">
      <formula>NOT(ISERROR(SEARCH("MajorMech",P70)))</formula>
    </cfRule>
    <cfRule type="containsText" dxfId="371" priority="364" operator="containsText" text="MinorMech">
      <formula>NOT(ISERROR(SEARCH("MinorMech",P70)))</formula>
    </cfRule>
    <cfRule type="containsText" dxfId="370" priority="365" operator="containsText" text="Working">
      <formula>NOT(ISERROR(SEARCH("Working",P70)))</formula>
    </cfRule>
  </conditionalFormatting>
  <conditionalFormatting sqref="AO68:AS72">
    <cfRule type="containsText" dxfId="369" priority="360" operator="containsText" text="Working">
      <formula>NOT(ISERROR(SEARCH("Working",AO68)))</formula>
    </cfRule>
  </conditionalFormatting>
  <conditionalFormatting sqref="CQ132:CU136">
    <cfRule type="containsText" dxfId="368" priority="337" operator="containsText" text="HazardVibra">
      <formula>NOT(ISERROR(SEARCH("HazardVibra",CQ132)))</formula>
    </cfRule>
    <cfRule type="containsText" dxfId="367" priority="338" operator="containsText" text="CatasVibra">
      <formula>NOT(ISERROR(SEARCH("CatasVibra",CQ132)))</formula>
    </cfRule>
    <cfRule type="containsText" dxfId="366" priority="339" operator="containsText" text="MajorVibra">
      <formula>NOT(ISERROR(SEARCH("MajorVibra",CQ132)))</formula>
    </cfRule>
    <cfRule type="containsText" dxfId="365" priority="340" operator="containsText" text="MinorVibra">
      <formula>NOT(ISERROR(SEARCH("MinorVibra",CQ132)))</formula>
    </cfRule>
    <cfRule type="containsText" dxfId="364" priority="341" operator="containsText" text="Working">
      <formula>NOT(ISERROR(SEARCH("Working",CQ132)))</formula>
    </cfRule>
  </conditionalFormatting>
  <conditionalFormatting sqref="CN132:CO136 CQ132:CU136 CN129:CO130 CQ129:CU130">
    <cfRule type="containsText" dxfId="363" priority="355" operator="containsText" text="CatasElec">
      <formula>NOT(ISERROR(SEARCH("CatasElec",CN129)))</formula>
    </cfRule>
    <cfRule type="containsText" dxfId="362" priority="356" operator="containsText" text="HazardElec">
      <formula>NOT(ISERROR(SEARCH("HazardElec",CN129)))</formula>
    </cfRule>
    <cfRule type="containsText" dxfId="361" priority="357" operator="containsText" text="MajorElec">
      <formula>NOT(ISERROR(SEARCH("MajorElec",CN129)))</formula>
    </cfRule>
    <cfRule type="containsText" dxfId="360" priority="358" operator="containsText" text="MinorElec">
      <formula>NOT(ISERROR(SEARCH("MinorElec",CN129)))</formula>
    </cfRule>
    <cfRule type="containsText" dxfId="359" priority="359" operator="containsText" text="Working">
      <formula>NOT(ISERROR(SEARCH("Working",CN129)))</formula>
    </cfRule>
  </conditionalFormatting>
  <conditionalFormatting sqref="CN132:CO136 CQ132:CU136 CN129:CO130 CQ129:CU130">
    <cfRule type="containsText" dxfId="358" priority="342" operator="containsText" text="HazardTemp">
      <formula>NOT(ISERROR(SEARCH("HazardTemp",CN129)))</formula>
    </cfRule>
    <cfRule type="containsText" dxfId="357" priority="343" operator="containsText" text="CatasTemp">
      <formula>NOT(ISERROR(SEARCH("CatasTemp",CN129)))</formula>
    </cfRule>
    <cfRule type="containsText" dxfId="356" priority="344" operator="containsText" text="MajorTemp">
      <formula>NOT(ISERROR(SEARCH("MajorTemp",CN129)))</formula>
    </cfRule>
    <cfRule type="containsText" dxfId="355" priority="345" operator="containsText" text="MinorTemp">
      <formula>NOT(ISERROR(SEARCH("MinorTemp",CN129)))</formula>
    </cfRule>
    <cfRule type="containsText" dxfId="354" priority="346" operator="containsText" text="CatasMech">
      <formula>NOT(ISERROR(SEARCH("CatasMech",CN129)))</formula>
    </cfRule>
    <cfRule type="containsText" dxfId="353" priority="347" operator="containsText" text="HazardMech">
      <formula>NOT(ISERROR(SEARCH("HazardMech",CN129)))</formula>
    </cfRule>
    <cfRule type="containsText" dxfId="352" priority="348" operator="containsText" text="MajorMech">
      <formula>NOT(ISERROR(SEARCH("MajorMech",CN129)))</formula>
    </cfRule>
    <cfRule type="containsText" dxfId="351" priority="349" operator="containsText" text="MinorMech">
      <formula>NOT(ISERROR(SEARCH("MinorMech",CN129)))</formula>
    </cfRule>
    <cfRule type="containsText" dxfId="350" priority="350" operator="containsText" text="CatasData">
      <formula>NOT(ISERROR(SEARCH("CatasData",CN129)))</formula>
    </cfRule>
    <cfRule type="containsText" dxfId="349" priority="351" operator="containsText" text="HazardDelay">
      <formula>NOT(ISERROR(SEARCH("HazardDelay",CN129)))</formula>
    </cfRule>
    <cfRule type="containsText" dxfId="348" priority="352" operator="containsText" text="MajorDelay">
      <formula>NOT(ISERROR(SEARCH("MajorDelay",CN129)))</formula>
    </cfRule>
    <cfRule type="containsText" dxfId="347" priority="353" operator="containsText" text="MinorDelay">
      <formula>NOT(ISERROR(SEARCH("MinorDelay",CN129)))</formula>
    </cfRule>
    <cfRule type="containsText" dxfId="346" priority="354" operator="containsText" text="Working">
      <formula>NOT(ISERROR(SEARCH("Working",CN129)))</formula>
    </cfRule>
  </conditionalFormatting>
  <conditionalFormatting sqref="CZ132:DD136">
    <cfRule type="containsText" dxfId="345" priority="314" operator="containsText" text="HazardVibra">
      <formula>NOT(ISERROR(SEARCH("HazardVibra",CZ132)))</formula>
    </cfRule>
    <cfRule type="containsText" dxfId="344" priority="315" operator="containsText" text="CatasVibra">
      <formula>NOT(ISERROR(SEARCH("CatasVibra",CZ132)))</formula>
    </cfRule>
    <cfRule type="containsText" dxfId="343" priority="316" operator="containsText" text="MajorVibra">
      <formula>NOT(ISERROR(SEARCH("MajorVibra",CZ132)))</formula>
    </cfRule>
    <cfRule type="containsText" dxfId="342" priority="317" operator="containsText" text="MinorVibra">
      <formula>NOT(ISERROR(SEARCH("MinorVibra",CZ132)))</formula>
    </cfRule>
    <cfRule type="containsText" dxfId="341" priority="318" operator="containsText" text="Working">
      <formula>NOT(ISERROR(SEARCH("Working",CZ132)))</formula>
    </cfRule>
  </conditionalFormatting>
  <conditionalFormatting sqref="CW132:CX136 CZ132:DD136 CW129:CX130 CZ129:DD130">
    <cfRule type="containsText" dxfId="340" priority="332" operator="containsText" text="CatasElec">
      <formula>NOT(ISERROR(SEARCH("CatasElec",CW129)))</formula>
    </cfRule>
    <cfRule type="containsText" dxfId="339" priority="333" operator="containsText" text="HazardElec">
      <formula>NOT(ISERROR(SEARCH("HazardElec",CW129)))</formula>
    </cfRule>
    <cfRule type="containsText" dxfId="338" priority="334" operator="containsText" text="MajorElec">
      <formula>NOT(ISERROR(SEARCH("MajorElec",CW129)))</formula>
    </cfRule>
    <cfRule type="containsText" dxfId="337" priority="335" operator="containsText" text="MinorElec">
      <formula>NOT(ISERROR(SEARCH("MinorElec",CW129)))</formula>
    </cfRule>
    <cfRule type="containsText" dxfId="336" priority="336" operator="containsText" text="Working">
      <formula>NOT(ISERROR(SEARCH("Working",CW129)))</formula>
    </cfRule>
  </conditionalFormatting>
  <conditionalFormatting sqref="CW132:CX136 CZ132:DD136 CW129:CX130 CZ129:DD130">
    <cfRule type="containsText" dxfId="335" priority="319" operator="containsText" text="HazardTemp">
      <formula>NOT(ISERROR(SEARCH("HazardTemp",CW129)))</formula>
    </cfRule>
    <cfRule type="containsText" dxfId="334" priority="320" operator="containsText" text="CatasTemp">
      <formula>NOT(ISERROR(SEARCH("CatasTemp",CW129)))</formula>
    </cfRule>
    <cfRule type="containsText" dxfId="333" priority="321" operator="containsText" text="MajorTemp">
      <formula>NOT(ISERROR(SEARCH("MajorTemp",CW129)))</formula>
    </cfRule>
    <cfRule type="containsText" dxfId="332" priority="322" operator="containsText" text="MinorTemp">
      <formula>NOT(ISERROR(SEARCH("MinorTemp",CW129)))</formula>
    </cfRule>
    <cfRule type="containsText" dxfId="331" priority="323" operator="containsText" text="CatasMech">
      <formula>NOT(ISERROR(SEARCH("CatasMech",CW129)))</formula>
    </cfRule>
    <cfRule type="containsText" dxfId="330" priority="324" operator="containsText" text="HazardMech">
      <formula>NOT(ISERROR(SEARCH("HazardMech",CW129)))</formula>
    </cfRule>
    <cfRule type="containsText" dxfId="329" priority="325" operator="containsText" text="MajorMech">
      <formula>NOT(ISERROR(SEARCH("MajorMech",CW129)))</formula>
    </cfRule>
    <cfRule type="containsText" dxfId="328" priority="326" operator="containsText" text="MinorMech">
      <formula>NOT(ISERROR(SEARCH("MinorMech",CW129)))</formula>
    </cfRule>
    <cfRule type="containsText" dxfId="327" priority="327" operator="containsText" text="CatasData">
      <formula>NOT(ISERROR(SEARCH("CatasData",CW129)))</formula>
    </cfRule>
    <cfRule type="containsText" dxfId="326" priority="328" operator="containsText" text="HazardDelay">
      <formula>NOT(ISERROR(SEARCH("HazardDelay",CW129)))</formula>
    </cfRule>
    <cfRule type="containsText" dxfId="325" priority="329" operator="containsText" text="MajorDelay">
      <formula>NOT(ISERROR(SEARCH("MajorDelay",CW129)))</formula>
    </cfRule>
    <cfRule type="containsText" dxfId="324" priority="330" operator="containsText" text="MinorDelay">
      <formula>NOT(ISERROR(SEARCH("MinorDelay",CW129)))</formula>
    </cfRule>
    <cfRule type="containsText" dxfId="323" priority="331" operator="containsText" text="Working">
      <formula>NOT(ISERROR(SEARCH("Working",CW129)))</formula>
    </cfRule>
  </conditionalFormatting>
  <conditionalFormatting sqref="DI132:DM136">
    <cfRule type="containsText" dxfId="322" priority="291" operator="containsText" text="HazardVibra">
      <formula>NOT(ISERROR(SEARCH("HazardVibra",DI132)))</formula>
    </cfRule>
    <cfRule type="containsText" dxfId="321" priority="292" operator="containsText" text="CatasVibra">
      <formula>NOT(ISERROR(SEARCH("CatasVibra",DI132)))</formula>
    </cfRule>
    <cfRule type="containsText" dxfId="320" priority="293" operator="containsText" text="MajorVibra">
      <formula>NOT(ISERROR(SEARCH("MajorVibra",DI132)))</formula>
    </cfRule>
    <cfRule type="containsText" dxfId="319" priority="294" operator="containsText" text="MinorVibra">
      <formula>NOT(ISERROR(SEARCH("MinorVibra",DI132)))</formula>
    </cfRule>
    <cfRule type="containsText" dxfId="318" priority="295" operator="containsText" text="Working">
      <formula>NOT(ISERROR(SEARCH("Working",DI132)))</formula>
    </cfRule>
  </conditionalFormatting>
  <conditionalFormatting sqref="DF132:DG136 DF129:DG130 DI129:DM130 DI132:DM136">
    <cfRule type="containsText" dxfId="317" priority="309" operator="containsText" text="CatasElec">
      <formula>NOT(ISERROR(SEARCH("CatasElec",DF129)))</formula>
    </cfRule>
    <cfRule type="containsText" dxfId="316" priority="310" operator="containsText" text="HazardElec">
      <formula>NOT(ISERROR(SEARCH("HazardElec",DF129)))</formula>
    </cfRule>
    <cfRule type="containsText" dxfId="315" priority="311" operator="containsText" text="MajorElec">
      <formula>NOT(ISERROR(SEARCH("MajorElec",DF129)))</formula>
    </cfRule>
    <cfRule type="containsText" dxfId="314" priority="312" operator="containsText" text="MinorElec">
      <formula>NOT(ISERROR(SEARCH("MinorElec",DF129)))</formula>
    </cfRule>
    <cfRule type="containsText" dxfId="313" priority="313" operator="containsText" text="Working">
      <formula>NOT(ISERROR(SEARCH("Working",DF129)))</formula>
    </cfRule>
  </conditionalFormatting>
  <conditionalFormatting sqref="DF132:DG136 DF129:DG130 DI129:DM130 DI132:DM136">
    <cfRule type="containsText" dxfId="312" priority="296" operator="containsText" text="HazardTemp">
      <formula>NOT(ISERROR(SEARCH("HazardTemp",DF129)))</formula>
    </cfRule>
    <cfRule type="containsText" dxfId="311" priority="297" operator="containsText" text="CatasTemp">
      <formula>NOT(ISERROR(SEARCH("CatasTemp",DF129)))</formula>
    </cfRule>
    <cfRule type="containsText" dxfId="310" priority="298" operator="containsText" text="MajorTemp">
      <formula>NOT(ISERROR(SEARCH("MajorTemp",DF129)))</formula>
    </cfRule>
    <cfRule type="containsText" dxfId="309" priority="299" operator="containsText" text="MinorTemp">
      <formula>NOT(ISERROR(SEARCH("MinorTemp",DF129)))</formula>
    </cfRule>
    <cfRule type="containsText" dxfId="308" priority="300" operator="containsText" text="CatasMech">
      <formula>NOT(ISERROR(SEARCH("CatasMech",DF129)))</formula>
    </cfRule>
    <cfRule type="containsText" dxfId="307" priority="301" operator="containsText" text="HazardMech">
      <formula>NOT(ISERROR(SEARCH("HazardMech",DF129)))</formula>
    </cfRule>
    <cfRule type="containsText" dxfId="306" priority="302" operator="containsText" text="MajorMech">
      <formula>NOT(ISERROR(SEARCH("MajorMech",DF129)))</formula>
    </cfRule>
    <cfRule type="containsText" dxfId="305" priority="303" operator="containsText" text="MinorMech">
      <formula>NOT(ISERROR(SEARCH("MinorMech",DF129)))</formula>
    </cfRule>
    <cfRule type="containsText" dxfId="304" priority="304" operator="containsText" text="CatasData">
      <formula>NOT(ISERROR(SEARCH("CatasData",DF129)))</formula>
    </cfRule>
    <cfRule type="containsText" dxfId="303" priority="305" operator="containsText" text="HazardDelay">
      <formula>NOT(ISERROR(SEARCH("HazardDelay",DF129)))</formula>
    </cfRule>
    <cfRule type="containsText" dxfId="302" priority="306" operator="containsText" text="MajorDelay">
      <formula>NOT(ISERROR(SEARCH("MajorDelay",DF129)))</formula>
    </cfRule>
    <cfRule type="containsText" dxfId="301" priority="307" operator="containsText" text="MinorDelay">
      <formula>NOT(ISERROR(SEARCH("MinorDelay",DF129)))</formula>
    </cfRule>
    <cfRule type="containsText" dxfId="300" priority="308" operator="containsText" text="Working">
      <formula>NOT(ISERROR(SEARCH("Working",DF129)))</formula>
    </cfRule>
  </conditionalFormatting>
  <conditionalFormatting sqref="DR132:DV136">
    <cfRule type="containsText" dxfId="299" priority="245" operator="containsText" text="HazardVibra">
      <formula>NOT(ISERROR(SEARCH("HazardVibra",DR132)))</formula>
    </cfRule>
    <cfRule type="containsText" dxfId="298" priority="246" operator="containsText" text="CatasVibra">
      <formula>NOT(ISERROR(SEARCH("CatasVibra",DR132)))</formula>
    </cfRule>
    <cfRule type="containsText" dxfId="297" priority="247" operator="containsText" text="MajorVibra">
      <formula>NOT(ISERROR(SEARCH("MajorVibra",DR132)))</formula>
    </cfRule>
    <cfRule type="containsText" dxfId="296" priority="248" operator="containsText" text="MinorVibra">
      <formula>NOT(ISERROR(SEARCH("MinorVibra",DR132)))</formula>
    </cfRule>
    <cfRule type="containsText" dxfId="295" priority="249" operator="containsText" text="Working">
      <formula>NOT(ISERROR(SEARCH("Working",DR132)))</formula>
    </cfRule>
  </conditionalFormatting>
  <conditionalFormatting sqref="DO132:DP136 DO129:DP130 DR129:DV130 DR132:DV136">
    <cfRule type="containsText" dxfId="294" priority="263" operator="containsText" text="CatasElec">
      <formula>NOT(ISERROR(SEARCH("CatasElec",DO129)))</formula>
    </cfRule>
    <cfRule type="containsText" dxfId="293" priority="264" operator="containsText" text="HazardElec">
      <formula>NOT(ISERROR(SEARCH("HazardElec",DO129)))</formula>
    </cfRule>
    <cfRule type="containsText" dxfId="292" priority="265" operator="containsText" text="MajorElec">
      <formula>NOT(ISERROR(SEARCH("MajorElec",DO129)))</formula>
    </cfRule>
    <cfRule type="containsText" dxfId="291" priority="266" operator="containsText" text="MinorElec">
      <formula>NOT(ISERROR(SEARCH("MinorElec",DO129)))</formula>
    </cfRule>
    <cfRule type="containsText" dxfId="290" priority="267" operator="containsText" text="Working">
      <formula>NOT(ISERROR(SEARCH("Working",DO129)))</formula>
    </cfRule>
  </conditionalFormatting>
  <conditionalFormatting sqref="DO132:DP136 DO129:DP130 DR129:DV130 DR132:DV136">
    <cfRule type="containsText" dxfId="289" priority="250" operator="containsText" text="HazardTemp">
      <formula>NOT(ISERROR(SEARCH("HazardTemp",DO129)))</formula>
    </cfRule>
    <cfRule type="containsText" dxfId="288" priority="251" operator="containsText" text="CatasTemp">
      <formula>NOT(ISERROR(SEARCH("CatasTemp",DO129)))</formula>
    </cfRule>
    <cfRule type="containsText" dxfId="287" priority="252" operator="containsText" text="MajorTemp">
      <formula>NOT(ISERROR(SEARCH("MajorTemp",DO129)))</formula>
    </cfRule>
    <cfRule type="containsText" dxfId="286" priority="253" operator="containsText" text="MinorTemp">
      <formula>NOT(ISERROR(SEARCH("MinorTemp",DO129)))</formula>
    </cfRule>
    <cfRule type="containsText" dxfId="285" priority="254" operator="containsText" text="CatasMech">
      <formula>NOT(ISERROR(SEARCH("CatasMech",DO129)))</formula>
    </cfRule>
    <cfRule type="containsText" dxfId="284" priority="255" operator="containsText" text="HazardMech">
      <formula>NOT(ISERROR(SEARCH("HazardMech",DO129)))</formula>
    </cfRule>
    <cfRule type="containsText" dxfId="283" priority="256" operator="containsText" text="MajorMech">
      <formula>NOT(ISERROR(SEARCH("MajorMech",DO129)))</formula>
    </cfRule>
    <cfRule type="containsText" dxfId="282" priority="257" operator="containsText" text="MinorMech">
      <formula>NOT(ISERROR(SEARCH("MinorMech",DO129)))</formula>
    </cfRule>
    <cfRule type="containsText" dxfId="281" priority="258" operator="containsText" text="CatasData">
      <formula>NOT(ISERROR(SEARCH("CatasData",DO129)))</formula>
    </cfRule>
    <cfRule type="containsText" dxfId="280" priority="259" operator="containsText" text="HazardDelay">
      <formula>NOT(ISERROR(SEARCH("HazardDelay",DO129)))</formula>
    </cfRule>
    <cfRule type="containsText" dxfId="279" priority="260" operator="containsText" text="MajorDelay">
      <formula>NOT(ISERROR(SEARCH("MajorDelay",DO129)))</formula>
    </cfRule>
    <cfRule type="containsText" dxfId="278" priority="261" operator="containsText" text="MinorDelay">
      <formula>NOT(ISERROR(SEARCH("MinorDelay",DO129)))</formula>
    </cfRule>
    <cfRule type="containsText" dxfId="277" priority="262" operator="containsText" text="Working">
      <formula>NOT(ISERROR(SEARCH("Working",DO129)))</formula>
    </cfRule>
  </conditionalFormatting>
  <conditionalFormatting sqref="EA132:EE136">
    <cfRule type="containsText" dxfId="276" priority="222" operator="containsText" text="HazardVibra">
      <formula>NOT(ISERROR(SEARCH("HazardVibra",EA132)))</formula>
    </cfRule>
    <cfRule type="containsText" dxfId="275" priority="223" operator="containsText" text="CatasVibra">
      <formula>NOT(ISERROR(SEARCH("CatasVibra",EA132)))</formula>
    </cfRule>
    <cfRule type="containsText" dxfId="274" priority="224" operator="containsText" text="MajorVibra">
      <formula>NOT(ISERROR(SEARCH("MajorVibra",EA132)))</formula>
    </cfRule>
    <cfRule type="containsText" dxfId="273" priority="225" operator="containsText" text="MinorVibra">
      <formula>NOT(ISERROR(SEARCH("MinorVibra",EA132)))</formula>
    </cfRule>
    <cfRule type="containsText" dxfId="272" priority="226" operator="containsText" text="Working">
      <formula>NOT(ISERROR(SEARCH("Working",EA132)))</formula>
    </cfRule>
  </conditionalFormatting>
  <conditionalFormatting sqref="DX132:DY136 DX129:DY130 EA129:EE130 EA132:EE136">
    <cfRule type="containsText" dxfId="271" priority="240" operator="containsText" text="CatasElec">
      <formula>NOT(ISERROR(SEARCH("CatasElec",DX129)))</formula>
    </cfRule>
    <cfRule type="containsText" dxfId="270" priority="241" operator="containsText" text="HazardElec">
      <formula>NOT(ISERROR(SEARCH("HazardElec",DX129)))</formula>
    </cfRule>
    <cfRule type="containsText" dxfId="269" priority="242" operator="containsText" text="MajorElec">
      <formula>NOT(ISERROR(SEARCH("MajorElec",DX129)))</formula>
    </cfRule>
    <cfRule type="containsText" dxfId="268" priority="243" operator="containsText" text="MinorElec">
      <formula>NOT(ISERROR(SEARCH("MinorElec",DX129)))</formula>
    </cfRule>
    <cfRule type="containsText" dxfId="267" priority="244" operator="containsText" text="Working">
      <formula>NOT(ISERROR(SEARCH("Working",DX129)))</formula>
    </cfRule>
  </conditionalFormatting>
  <conditionalFormatting sqref="DX132:DY136 DX129:DY130 EA129:EE130 EA132:EE136">
    <cfRule type="containsText" dxfId="266" priority="227" operator="containsText" text="HazardTemp">
      <formula>NOT(ISERROR(SEARCH("HazardTemp",DX129)))</formula>
    </cfRule>
    <cfRule type="containsText" dxfId="265" priority="228" operator="containsText" text="CatasTemp">
      <formula>NOT(ISERROR(SEARCH("CatasTemp",DX129)))</formula>
    </cfRule>
    <cfRule type="containsText" dxfId="264" priority="229" operator="containsText" text="MajorTemp">
      <formula>NOT(ISERROR(SEARCH("MajorTemp",DX129)))</formula>
    </cfRule>
    <cfRule type="containsText" dxfId="263" priority="230" operator="containsText" text="MinorTemp">
      <formula>NOT(ISERROR(SEARCH("MinorTemp",DX129)))</formula>
    </cfRule>
    <cfRule type="containsText" dxfId="262" priority="231" operator="containsText" text="CatasMech">
      <formula>NOT(ISERROR(SEARCH("CatasMech",DX129)))</formula>
    </cfRule>
    <cfRule type="containsText" dxfId="261" priority="232" operator="containsText" text="HazardMech">
      <formula>NOT(ISERROR(SEARCH("HazardMech",DX129)))</formula>
    </cfRule>
    <cfRule type="containsText" dxfId="260" priority="233" operator="containsText" text="MajorMech">
      <formula>NOT(ISERROR(SEARCH("MajorMech",DX129)))</formula>
    </cfRule>
    <cfRule type="containsText" dxfId="259" priority="234" operator="containsText" text="MinorMech">
      <formula>NOT(ISERROR(SEARCH("MinorMech",DX129)))</formula>
    </cfRule>
    <cfRule type="containsText" dxfId="258" priority="235" operator="containsText" text="CatasData">
      <formula>NOT(ISERROR(SEARCH("CatasData",DX129)))</formula>
    </cfRule>
    <cfRule type="containsText" dxfId="257" priority="236" operator="containsText" text="HazardDelay">
      <formula>NOT(ISERROR(SEARCH("HazardDelay",DX129)))</formula>
    </cfRule>
    <cfRule type="containsText" dxfId="256" priority="237" operator="containsText" text="MajorDelay">
      <formula>NOT(ISERROR(SEARCH("MajorDelay",DX129)))</formula>
    </cfRule>
    <cfRule type="containsText" dxfId="255" priority="238" operator="containsText" text="MinorDelay">
      <formula>NOT(ISERROR(SEARCH("MinorDelay",DX129)))</formula>
    </cfRule>
    <cfRule type="containsText" dxfId="254" priority="239" operator="containsText" text="Working">
      <formula>NOT(ISERROR(SEARCH("Working",DX129)))</formula>
    </cfRule>
  </conditionalFormatting>
  <conditionalFormatting sqref="N144:R148 AL144:AL145">
    <cfRule type="containsText" dxfId="253" priority="207" operator="containsText" text="LossData">
      <formula>NOT(ISERROR(SEARCH("LossData",N144)))</formula>
    </cfRule>
    <cfRule type="containsText" dxfId="252" priority="208" operator="containsText" text="MajorDelay">
      <formula>NOT(ISERROR(SEARCH("MajorDelay",N144)))</formula>
    </cfRule>
    <cfRule type="containsText" dxfId="251" priority="209" operator="containsText" text="DataCorrupt">
      <formula>NOT(ISERROR(SEARCH("DataCorrupt",N144)))</formula>
    </cfRule>
    <cfRule type="containsText" dxfId="250" priority="210" operator="containsText" text="MinorDelay">
      <formula>NOT(ISERROR(SEARCH("MinorDelay",N144)))</formula>
    </cfRule>
    <cfRule type="containsText" dxfId="249" priority="211" operator="containsText" text="Working">
      <formula>NOT(ISERROR(SEARCH("Working",N144)))</formula>
    </cfRule>
  </conditionalFormatting>
  <conditionalFormatting sqref="AO144:AS148">
    <cfRule type="containsText" dxfId="248" priority="194" operator="containsText" text="LossData">
      <formula>NOT(ISERROR(SEARCH("LossData",AO144)))</formula>
    </cfRule>
    <cfRule type="containsText" dxfId="247" priority="195" operator="containsText" text="MajorDelay">
      <formula>NOT(ISERROR(SEARCH("MajorDelay",AO144)))</formula>
    </cfRule>
    <cfRule type="containsText" dxfId="246" priority="196" operator="containsText" text="DataCorrupt">
      <formula>NOT(ISERROR(SEARCH("DataCorrupt",AO144)))</formula>
    </cfRule>
    <cfRule type="containsText" dxfId="245" priority="197" operator="containsText" text="MinorDelay">
      <formula>NOT(ISERROR(SEARCH("MinorDelay",AO144)))</formula>
    </cfRule>
    <cfRule type="containsText" dxfId="244" priority="198" operator="containsText" text="Working">
      <formula>NOT(ISERROR(SEARCH("Working",AO144)))</formula>
    </cfRule>
  </conditionalFormatting>
  <conditionalFormatting sqref="BM144">
    <cfRule type="containsText" dxfId="243" priority="189" operator="containsText" text="LossData">
      <formula>NOT(ISERROR(SEARCH("LossData",BM144)))</formula>
    </cfRule>
    <cfRule type="containsText" dxfId="242" priority="190" operator="containsText" text="MajorDelay">
      <formula>NOT(ISERROR(SEARCH("MajorDelay",BM144)))</formula>
    </cfRule>
    <cfRule type="containsText" dxfId="241" priority="191" operator="containsText" text="DataCorrupt">
      <formula>NOT(ISERROR(SEARCH("DataCorrupt",BM144)))</formula>
    </cfRule>
    <cfRule type="containsText" dxfId="240" priority="192" operator="containsText" text="MinorDelay">
      <formula>NOT(ISERROR(SEARCH("MinorDelay",BM144)))</formula>
    </cfRule>
    <cfRule type="containsText" dxfId="239" priority="193" operator="containsText" text="Working">
      <formula>NOT(ISERROR(SEARCH("Working",BM144)))</formula>
    </cfRule>
  </conditionalFormatting>
  <conditionalFormatting sqref="BP144:BT148">
    <cfRule type="containsText" dxfId="238" priority="184" operator="containsText" text="LossData">
      <formula>NOT(ISERROR(SEARCH("LossData",BP144)))</formula>
    </cfRule>
    <cfRule type="containsText" dxfId="237" priority="185" operator="containsText" text="MajorDelay">
      <formula>NOT(ISERROR(SEARCH("MajorDelay",BP144)))</formula>
    </cfRule>
    <cfRule type="containsText" dxfId="236" priority="186" operator="containsText" text="DataCorrupt">
      <formula>NOT(ISERROR(SEARCH("DataCorrupt",BP144)))</formula>
    </cfRule>
    <cfRule type="containsText" dxfId="235" priority="187" operator="containsText" text="MinorDelay">
      <formula>NOT(ISERROR(SEARCH("MinorDelay",BP144)))</formula>
    </cfRule>
    <cfRule type="containsText" dxfId="234" priority="188" operator="containsText" text="Working">
      <formula>NOT(ISERROR(SEARCH("Working",BP144)))</formula>
    </cfRule>
  </conditionalFormatting>
  <conditionalFormatting sqref="BG144:BK148">
    <cfRule type="containsText" dxfId="233" priority="164" operator="containsText" text="LossData">
      <formula>NOT(ISERROR(SEARCH("LossData",BG144)))</formula>
    </cfRule>
    <cfRule type="containsText" dxfId="232" priority="165" operator="containsText" text="MajorDelay">
      <formula>NOT(ISERROR(SEARCH("MajorDelay",BG144)))</formula>
    </cfRule>
    <cfRule type="containsText" dxfId="231" priority="166" operator="containsText" text="DataCorrupt">
      <formula>NOT(ISERROR(SEARCH("DataCorrupt",BG144)))</formula>
    </cfRule>
    <cfRule type="containsText" dxfId="230" priority="167" operator="containsText" text="MinorDelay">
      <formula>NOT(ISERROR(SEARCH("MinorDelay",BG144)))</formula>
    </cfRule>
    <cfRule type="containsText" dxfId="229" priority="168" operator="containsText" text="Working">
      <formula>NOT(ISERROR(SEARCH("Working",BG144)))</formula>
    </cfRule>
  </conditionalFormatting>
  <conditionalFormatting sqref="BD144:BD145">
    <cfRule type="containsText" dxfId="228" priority="169" operator="containsText" text="LossData">
      <formula>NOT(ISERROR(SEARCH("LossData",BD144)))</formula>
    </cfRule>
    <cfRule type="containsText" dxfId="227" priority="170" operator="containsText" text="MajorDelay">
      <formula>NOT(ISERROR(SEARCH("MajorDelay",BD144)))</formula>
    </cfRule>
    <cfRule type="containsText" dxfId="226" priority="171" operator="containsText" text="DataCorrupt">
      <formula>NOT(ISERROR(SEARCH("DataCorrupt",BD144)))</formula>
    </cfRule>
    <cfRule type="containsText" dxfId="225" priority="172" operator="containsText" text="MinorDelay">
      <formula>NOT(ISERROR(SEARCH("MinorDelay",BD144)))</formula>
    </cfRule>
    <cfRule type="containsText" dxfId="224" priority="173" operator="containsText" text="Working">
      <formula>NOT(ISERROR(SEARCH("Working",BD144)))</formula>
    </cfRule>
  </conditionalFormatting>
  <conditionalFormatting sqref="AU144:AU145">
    <cfRule type="containsText" dxfId="223" priority="149" operator="containsText" text="LossData">
      <formula>NOT(ISERROR(SEARCH("LossData",AU144)))</formula>
    </cfRule>
    <cfRule type="containsText" dxfId="222" priority="150" operator="containsText" text="MajorDelay">
      <formula>NOT(ISERROR(SEARCH("MajorDelay",AU144)))</formula>
    </cfRule>
    <cfRule type="containsText" dxfId="221" priority="151" operator="containsText" text="DataCorrupt">
      <formula>NOT(ISERROR(SEARCH("DataCorrupt",AU144)))</formula>
    </cfRule>
    <cfRule type="containsText" dxfId="220" priority="152" operator="containsText" text="MinorDelay">
      <formula>NOT(ISERROR(SEARCH("MinorDelay",AU144)))</formula>
    </cfRule>
    <cfRule type="containsText" dxfId="219" priority="153" operator="containsText" text="Working">
      <formula>NOT(ISERROR(SEARCH("Working",AU144)))</formula>
    </cfRule>
  </conditionalFormatting>
  <conditionalFormatting sqref="AX144:BB148">
    <cfRule type="containsText" dxfId="218" priority="144" operator="containsText" text="LossData">
      <formula>NOT(ISERROR(SEARCH("LossData",AX144)))</formula>
    </cfRule>
    <cfRule type="containsText" dxfId="217" priority="145" operator="containsText" text="MajorDelay">
      <formula>NOT(ISERROR(SEARCH("MajorDelay",AX144)))</formula>
    </cfRule>
    <cfRule type="containsText" dxfId="216" priority="146" operator="containsText" text="DataCorrupt">
      <formula>NOT(ISERROR(SEARCH("DataCorrupt",AX144)))</formula>
    </cfRule>
    <cfRule type="containsText" dxfId="215" priority="147" operator="containsText" text="MinorDelay">
      <formula>NOT(ISERROR(SEARCH("MinorDelay",AX144)))</formula>
    </cfRule>
    <cfRule type="containsText" dxfId="214" priority="148" operator="containsText" text="Working">
      <formula>NOT(ISERROR(SEARCH("Working",AX144)))</formula>
    </cfRule>
  </conditionalFormatting>
  <conditionalFormatting sqref="A139:C140 E139:L140 N139:U140 W139:AD140 AF139:AM140 AK144:AM148 AB144:AB148 N144:S148 J144:L148 A144:A148 AO144:AV148 AO139:AV142 AX139:BE142 AX144:BE148 BG144:BN148 BG139:BN142 BP139:BW142 BP144:BW148 BY144:CF148 BY139:CF142 CH139:CX142 CH144:CX148 CZ144:XFD148 CZ139:XFD142 J141:L142 A141:A142 AB141:AB142 N141:S142 AK141:AM142">
    <cfRule type="containsText" dxfId="213" priority="217" operator="containsText" text="CatasElec">
      <formula>NOT(ISERROR(SEARCH("CatasElec",A139)))</formula>
    </cfRule>
    <cfRule type="containsText" dxfId="212" priority="218" operator="containsText" text="HazardElec">
      <formula>NOT(ISERROR(SEARCH("HazardElec",A139)))</formula>
    </cfRule>
    <cfRule type="containsText" dxfId="211" priority="219" operator="containsText" text="MajorElec">
      <formula>NOT(ISERROR(SEARCH("MajorElec",A139)))</formula>
    </cfRule>
    <cfRule type="containsText" dxfId="210" priority="220" operator="containsText" text="MinorElec">
      <formula>NOT(ISERROR(SEARCH("MinorElec",A139)))</formula>
    </cfRule>
    <cfRule type="containsText" dxfId="209" priority="221" operator="containsText" text="Working">
      <formula>NOT(ISERROR(SEARCH("Working",A139)))</formula>
    </cfRule>
  </conditionalFormatting>
  <conditionalFormatting sqref="A144:A148 J144:L148 N144:S148 AB144:AB148 AK144:AM148 AO144:AV148 AX144:BE148 BG144:BN148 BP144:BW148 BY144:CF148 CH144:CX148 CZ144:XFD148 A139:C140 E139:L140 N139:U140 W139:AD140 AF139:AM140 AO139:AV142 AX139:BE142 BG139:BN142 BP139:BW142 BY139:CF142 CH139:CX142 CZ139:XFD142 J141:L142 A141:A142 AB141:AB142 N141:S142 AK141:AM142">
    <cfRule type="containsText" dxfId="208" priority="199" operator="containsText" text="HazardTemp">
      <formula>NOT(ISERROR(SEARCH("HazardTemp",A139)))</formula>
    </cfRule>
    <cfRule type="containsText" dxfId="207" priority="200" operator="containsText" text="CatasTemp">
      <formula>NOT(ISERROR(SEARCH("CatasTemp",A139)))</formula>
    </cfRule>
    <cfRule type="containsText" dxfId="206" priority="201" operator="containsText" text="MajorTemp">
      <formula>NOT(ISERROR(SEARCH("MajorTemp",A139)))</formula>
    </cfRule>
    <cfRule type="containsText" dxfId="205" priority="202" operator="containsText" text="MinorTemp">
      <formula>NOT(ISERROR(SEARCH("MinorTemp",A139)))</formula>
    </cfRule>
    <cfRule type="containsText" dxfId="204" priority="203" operator="containsText" text="CatasMech">
      <formula>NOT(ISERROR(SEARCH("CatasMech",A139)))</formula>
    </cfRule>
    <cfRule type="containsText" dxfId="203" priority="204" operator="containsText" text="HazardMech">
      <formula>NOT(ISERROR(SEARCH("HazardMech",A139)))</formula>
    </cfRule>
    <cfRule type="containsText" dxfId="202" priority="205" operator="containsText" text="MajorMech">
      <formula>NOT(ISERROR(SEARCH("MajorMech",A139)))</formula>
    </cfRule>
    <cfRule type="containsText" dxfId="201" priority="206" operator="containsText" text="MinorMech">
      <formula>NOT(ISERROR(SEARCH("MinorMech",A139)))</formula>
    </cfRule>
    <cfRule type="containsText" dxfId="200" priority="212" operator="containsText" text="CatasData">
      <formula>NOT(ISERROR(SEARCH("CatasData",A139)))</formula>
    </cfRule>
    <cfRule type="containsText" dxfId="199" priority="213" operator="containsText" text="HazardDelay">
      <formula>NOT(ISERROR(SEARCH("HazardDelay",A139)))</formula>
    </cfRule>
    <cfRule type="containsText" dxfId="198" priority="214" operator="containsText" text="MajorDelay">
      <formula>NOT(ISERROR(SEARCH("MajorDelay",A139)))</formula>
    </cfRule>
    <cfRule type="containsText" dxfId="197" priority="215" operator="containsText" text="MinorDelay">
      <formula>NOT(ISERROR(SEARCH("MinorDelay",A139)))</formula>
    </cfRule>
    <cfRule type="containsText" dxfId="196" priority="216" operator="containsText" text="Working">
      <formula>NOT(ISERROR(SEARCH("Working",A139)))</formula>
    </cfRule>
  </conditionalFormatting>
  <conditionalFormatting sqref="B144">
    <cfRule type="containsText" dxfId="195" priority="121" operator="containsText" text="LossData">
      <formula>NOT(ISERROR(SEARCH("LossData",B144)))</formula>
    </cfRule>
    <cfRule type="containsText" dxfId="194" priority="122" operator="containsText" text="MajorDelay">
      <formula>NOT(ISERROR(SEARCH("MajorDelay",B144)))</formula>
    </cfRule>
    <cfRule type="containsText" dxfId="193" priority="123" operator="containsText" text="DataCorrupt">
      <formula>NOT(ISERROR(SEARCH("DataCorrupt",B144)))</formula>
    </cfRule>
    <cfRule type="containsText" dxfId="192" priority="124" operator="containsText" text="MinorDelay">
      <formula>NOT(ISERROR(SEARCH("MinorDelay",B144)))</formula>
    </cfRule>
    <cfRule type="containsText" dxfId="191" priority="125" operator="containsText" text="Working">
      <formula>NOT(ISERROR(SEARCH("Working",B144)))</formula>
    </cfRule>
  </conditionalFormatting>
  <conditionalFormatting sqref="E144:I148">
    <cfRule type="containsText" dxfId="190" priority="116" operator="containsText" text="LossData">
      <formula>NOT(ISERROR(SEARCH("LossData",E144)))</formula>
    </cfRule>
    <cfRule type="containsText" dxfId="189" priority="117" operator="containsText" text="MajorDelay">
      <formula>NOT(ISERROR(SEARCH("MajorDelay",E144)))</formula>
    </cfRule>
    <cfRule type="containsText" dxfId="188" priority="118" operator="containsText" text="DataCorrupt">
      <formula>NOT(ISERROR(SEARCH("DataCorrupt",E144)))</formula>
    </cfRule>
    <cfRule type="containsText" dxfId="187" priority="119" operator="containsText" text="MinorDelay">
      <formula>NOT(ISERROR(SEARCH("MinorDelay",E144)))</formula>
    </cfRule>
    <cfRule type="containsText" dxfId="186" priority="120" operator="containsText" text="Working">
      <formula>NOT(ISERROR(SEARCH("Working",E144)))</formula>
    </cfRule>
  </conditionalFormatting>
  <conditionalFormatting sqref="B141:C142 E141:I142 E144:I148 B144:C148">
    <cfRule type="containsText" dxfId="185" priority="139" operator="containsText" text="CatasElec">
      <formula>NOT(ISERROR(SEARCH("CatasElec",B141)))</formula>
    </cfRule>
    <cfRule type="containsText" dxfId="184" priority="140" operator="containsText" text="HazardElec">
      <formula>NOT(ISERROR(SEARCH("HazardElec",B141)))</formula>
    </cfRule>
    <cfRule type="containsText" dxfId="183" priority="141" operator="containsText" text="MajorElec">
      <formula>NOT(ISERROR(SEARCH("MajorElec",B141)))</formula>
    </cfRule>
    <cfRule type="containsText" dxfId="182" priority="142" operator="containsText" text="MinorElec">
      <formula>NOT(ISERROR(SEARCH("MinorElec",B141)))</formula>
    </cfRule>
    <cfRule type="containsText" dxfId="181" priority="143" operator="containsText" text="Working">
      <formula>NOT(ISERROR(SEARCH("Working",B141)))</formula>
    </cfRule>
  </conditionalFormatting>
  <conditionalFormatting sqref="B144:C148 E144:I148 B141:C142 E141:I142">
    <cfRule type="containsText" dxfId="180" priority="126" operator="containsText" text="HazardTemp">
      <formula>NOT(ISERROR(SEARCH("HazardTemp",B141)))</formula>
    </cfRule>
    <cfRule type="containsText" dxfId="179" priority="127" operator="containsText" text="CatasTemp">
      <formula>NOT(ISERROR(SEARCH("CatasTemp",B141)))</formula>
    </cfRule>
    <cfRule type="containsText" dxfId="178" priority="128" operator="containsText" text="MajorTemp">
      <formula>NOT(ISERROR(SEARCH("MajorTemp",B141)))</formula>
    </cfRule>
    <cfRule type="containsText" dxfId="177" priority="129" operator="containsText" text="MinorTemp">
      <formula>NOT(ISERROR(SEARCH("MinorTemp",B141)))</formula>
    </cfRule>
    <cfRule type="containsText" dxfId="176" priority="130" operator="containsText" text="CatasMech">
      <formula>NOT(ISERROR(SEARCH("CatasMech",B141)))</formula>
    </cfRule>
    <cfRule type="containsText" dxfId="175" priority="131" operator="containsText" text="HazardMech">
      <formula>NOT(ISERROR(SEARCH("HazardMech",B141)))</formula>
    </cfRule>
    <cfRule type="containsText" dxfId="174" priority="132" operator="containsText" text="MajorMech">
      <formula>NOT(ISERROR(SEARCH("MajorMech",B141)))</formula>
    </cfRule>
    <cfRule type="containsText" dxfId="173" priority="133" operator="containsText" text="MinorMech">
      <formula>NOT(ISERROR(SEARCH("MinorMech",B141)))</formula>
    </cfRule>
    <cfRule type="containsText" dxfId="172" priority="134" operator="containsText" text="CatasData">
      <formula>NOT(ISERROR(SEARCH("CatasData",B141)))</formula>
    </cfRule>
    <cfRule type="containsText" dxfId="171" priority="135" operator="containsText" text="HazardDelay">
      <formula>NOT(ISERROR(SEARCH("HazardDelay",B141)))</formula>
    </cfRule>
    <cfRule type="containsText" dxfId="170" priority="136" operator="containsText" text="MajorDelay">
      <formula>NOT(ISERROR(SEARCH("MajorDelay",B141)))</formula>
    </cfRule>
    <cfRule type="containsText" dxfId="169" priority="137" operator="containsText" text="MinorDelay">
      <formula>NOT(ISERROR(SEARCH("MinorDelay",B141)))</formula>
    </cfRule>
    <cfRule type="containsText" dxfId="168" priority="138" operator="containsText" text="Working">
      <formula>NOT(ISERROR(SEARCH("Working",B141)))</formula>
    </cfRule>
  </conditionalFormatting>
  <conditionalFormatting sqref="T144">
    <cfRule type="containsText" dxfId="167" priority="93" operator="containsText" text="LossData">
      <formula>NOT(ISERROR(SEARCH("LossData",T144)))</formula>
    </cfRule>
    <cfRule type="containsText" dxfId="166" priority="94" operator="containsText" text="MajorDelay">
      <formula>NOT(ISERROR(SEARCH("MajorDelay",T144)))</formula>
    </cfRule>
    <cfRule type="containsText" dxfId="165" priority="95" operator="containsText" text="DataCorrupt">
      <formula>NOT(ISERROR(SEARCH("DataCorrupt",T144)))</formula>
    </cfRule>
    <cfRule type="containsText" dxfId="164" priority="96" operator="containsText" text="MinorDelay">
      <formula>NOT(ISERROR(SEARCH("MinorDelay",T144)))</formula>
    </cfRule>
    <cfRule type="containsText" dxfId="163" priority="97" operator="containsText" text="Working">
      <formula>NOT(ISERROR(SEARCH("Working",T144)))</formula>
    </cfRule>
  </conditionalFormatting>
  <conditionalFormatting sqref="W144:AA148">
    <cfRule type="containsText" dxfId="162" priority="88" operator="containsText" text="LossData">
      <formula>NOT(ISERROR(SEARCH("LossData",W144)))</formula>
    </cfRule>
    <cfRule type="containsText" dxfId="161" priority="89" operator="containsText" text="MajorDelay">
      <formula>NOT(ISERROR(SEARCH("MajorDelay",W144)))</formula>
    </cfRule>
    <cfRule type="containsText" dxfId="160" priority="90" operator="containsText" text="DataCorrupt">
      <formula>NOT(ISERROR(SEARCH("DataCorrupt",W144)))</formula>
    </cfRule>
    <cfRule type="containsText" dxfId="159" priority="91" operator="containsText" text="MinorDelay">
      <formula>NOT(ISERROR(SEARCH("MinorDelay",W144)))</formula>
    </cfRule>
    <cfRule type="containsText" dxfId="158" priority="92" operator="containsText" text="Working">
      <formula>NOT(ISERROR(SEARCH("Working",W144)))</formula>
    </cfRule>
  </conditionalFormatting>
  <conditionalFormatting sqref="T141:U142 W141:AA142 W144:AA148 T144:U148">
    <cfRule type="containsText" dxfId="157" priority="111" operator="containsText" text="CatasElec">
      <formula>NOT(ISERROR(SEARCH("CatasElec",T141)))</formula>
    </cfRule>
    <cfRule type="containsText" dxfId="156" priority="112" operator="containsText" text="HazardElec">
      <formula>NOT(ISERROR(SEARCH("HazardElec",T141)))</formula>
    </cfRule>
    <cfRule type="containsText" dxfId="155" priority="113" operator="containsText" text="MajorElec">
      <formula>NOT(ISERROR(SEARCH("MajorElec",T141)))</formula>
    </cfRule>
    <cfRule type="containsText" dxfId="154" priority="114" operator="containsText" text="MinorElec">
      <formula>NOT(ISERROR(SEARCH("MinorElec",T141)))</formula>
    </cfRule>
    <cfRule type="containsText" dxfId="153" priority="115" operator="containsText" text="Working">
      <formula>NOT(ISERROR(SEARCH("Working",T141)))</formula>
    </cfRule>
  </conditionalFormatting>
  <conditionalFormatting sqref="T144:U148 W144:AA148 T141:U142 W141:AA142">
    <cfRule type="containsText" dxfId="152" priority="98" operator="containsText" text="HazardTemp">
      <formula>NOT(ISERROR(SEARCH("HazardTemp",T141)))</formula>
    </cfRule>
    <cfRule type="containsText" dxfId="151" priority="99" operator="containsText" text="CatasTemp">
      <formula>NOT(ISERROR(SEARCH("CatasTemp",T141)))</formula>
    </cfRule>
    <cfRule type="containsText" dxfId="150" priority="100" operator="containsText" text="MajorTemp">
      <formula>NOT(ISERROR(SEARCH("MajorTemp",T141)))</formula>
    </cfRule>
    <cfRule type="containsText" dxfId="149" priority="101" operator="containsText" text="MinorTemp">
      <formula>NOT(ISERROR(SEARCH("MinorTemp",T141)))</formula>
    </cfRule>
    <cfRule type="containsText" dxfId="148" priority="102" operator="containsText" text="CatasMech">
      <formula>NOT(ISERROR(SEARCH("CatasMech",T141)))</formula>
    </cfRule>
    <cfRule type="containsText" dxfId="147" priority="103" operator="containsText" text="HazardMech">
      <formula>NOT(ISERROR(SEARCH("HazardMech",T141)))</formula>
    </cfRule>
    <cfRule type="containsText" dxfId="146" priority="104" operator="containsText" text="MajorMech">
      <formula>NOT(ISERROR(SEARCH("MajorMech",T141)))</formula>
    </cfRule>
    <cfRule type="containsText" dxfId="145" priority="105" operator="containsText" text="MinorMech">
      <formula>NOT(ISERROR(SEARCH("MinorMech",T141)))</formula>
    </cfRule>
    <cfRule type="containsText" dxfId="144" priority="106" operator="containsText" text="CatasData">
      <formula>NOT(ISERROR(SEARCH("CatasData",T141)))</formula>
    </cfRule>
    <cfRule type="containsText" dxfId="143" priority="107" operator="containsText" text="HazardDelay">
      <formula>NOT(ISERROR(SEARCH("HazardDelay",T141)))</formula>
    </cfRule>
    <cfRule type="containsText" dxfId="142" priority="108" operator="containsText" text="MajorDelay">
      <formula>NOT(ISERROR(SEARCH("MajorDelay",T141)))</formula>
    </cfRule>
    <cfRule type="containsText" dxfId="141" priority="109" operator="containsText" text="MinorDelay">
      <formula>NOT(ISERROR(SEARCH("MinorDelay",T141)))</formula>
    </cfRule>
    <cfRule type="containsText" dxfId="140" priority="110" operator="containsText" text="Working">
      <formula>NOT(ISERROR(SEARCH("Working",T141)))</formula>
    </cfRule>
  </conditionalFormatting>
  <conditionalFormatting sqref="AC144:AC145">
    <cfRule type="containsText" dxfId="139" priority="73" operator="containsText" text="LossData">
      <formula>NOT(ISERROR(SEARCH("LossData",AC144)))</formula>
    </cfRule>
    <cfRule type="containsText" dxfId="138" priority="74" operator="containsText" text="MajorDelay">
      <formula>NOT(ISERROR(SEARCH("MajorDelay",AC144)))</formula>
    </cfRule>
    <cfRule type="containsText" dxfId="137" priority="75" operator="containsText" text="DataCorrupt">
      <formula>NOT(ISERROR(SEARCH("DataCorrupt",AC144)))</formula>
    </cfRule>
    <cfRule type="containsText" dxfId="136" priority="76" operator="containsText" text="MinorDelay">
      <formula>NOT(ISERROR(SEARCH("MinorDelay",AC144)))</formula>
    </cfRule>
    <cfRule type="containsText" dxfId="135" priority="77" operator="containsText" text="Working">
      <formula>NOT(ISERROR(SEARCH("Working",AC144)))</formula>
    </cfRule>
  </conditionalFormatting>
  <conditionalFormatting sqref="AF144:AJ148">
    <cfRule type="containsText" dxfId="134" priority="60" operator="containsText" text="LossData">
      <formula>NOT(ISERROR(SEARCH("LossData",AF144)))</formula>
    </cfRule>
    <cfRule type="containsText" dxfId="133" priority="61" operator="containsText" text="MajorDelay">
      <formula>NOT(ISERROR(SEARCH("MajorDelay",AF144)))</formula>
    </cfRule>
    <cfRule type="containsText" dxfId="132" priority="62" operator="containsText" text="DataCorrupt">
      <formula>NOT(ISERROR(SEARCH("DataCorrupt",AF144)))</formula>
    </cfRule>
    <cfRule type="containsText" dxfId="131" priority="63" operator="containsText" text="MinorDelay">
      <formula>NOT(ISERROR(SEARCH("MinorDelay",AF144)))</formula>
    </cfRule>
    <cfRule type="containsText" dxfId="130" priority="64" operator="containsText" text="Working">
      <formula>NOT(ISERROR(SEARCH("Working",AF144)))</formula>
    </cfRule>
  </conditionalFormatting>
  <conditionalFormatting sqref="AC141:AD142 AC144:AD148 AF144:AJ148 AF141:AJ142">
    <cfRule type="containsText" dxfId="129" priority="83" operator="containsText" text="CatasElec">
      <formula>NOT(ISERROR(SEARCH("CatasElec",AC141)))</formula>
    </cfRule>
    <cfRule type="containsText" dxfId="128" priority="84" operator="containsText" text="HazardElec">
      <formula>NOT(ISERROR(SEARCH("HazardElec",AC141)))</formula>
    </cfRule>
    <cfRule type="containsText" dxfId="127" priority="85" operator="containsText" text="MajorElec">
      <formula>NOT(ISERROR(SEARCH("MajorElec",AC141)))</formula>
    </cfRule>
    <cfRule type="containsText" dxfId="126" priority="86" operator="containsText" text="MinorElec">
      <formula>NOT(ISERROR(SEARCH("MinorElec",AC141)))</formula>
    </cfRule>
    <cfRule type="containsText" dxfId="125" priority="87" operator="containsText" text="Working">
      <formula>NOT(ISERROR(SEARCH("Working",AC141)))</formula>
    </cfRule>
  </conditionalFormatting>
  <conditionalFormatting sqref="AC144:AD148 AF144:AJ148 AC141:AD142 AF141:AJ142">
    <cfRule type="containsText" dxfId="124" priority="65" operator="containsText" text="HazardTemp">
      <formula>NOT(ISERROR(SEARCH("HazardTemp",AC141)))</formula>
    </cfRule>
    <cfRule type="containsText" dxfId="123" priority="66" operator="containsText" text="CatasTemp">
      <formula>NOT(ISERROR(SEARCH("CatasTemp",AC141)))</formula>
    </cfRule>
    <cfRule type="containsText" dxfId="122" priority="67" operator="containsText" text="MajorTemp">
      <formula>NOT(ISERROR(SEARCH("MajorTemp",AC141)))</formula>
    </cfRule>
    <cfRule type="containsText" dxfId="121" priority="68" operator="containsText" text="MinorTemp">
      <formula>NOT(ISERROR(SEARCH("MinorTemp",AC141)))</formula>
    </cfRule>
    <cfRule type="containsText" dxfId="120" priority="69" operator="containsText" text="CatasMech">
      <formula>NOT(ISERROR(SEARCH("CatasMech",AC141)))</formula>
    </cfRule>
    <cfRule type="containsText" dxfId="119" priority="70" operator="containsText" text="HazardMech">
      <formula>NOT(ISERROR(SEARCH("HazardMech",AC141)))</formula>
    </cfRule>
    <cfRule type="containsText" dxfId="118" priority="71" operator="containsText" text="MajorMech">
      <formula>NOT(ISERROR(SEARCH("MajorMech",AC141)))</formula>
    </cfRule>
    <cfRule type="containsText" dxfId="117" priority="72" operator="containsText" text="MinorMech">
      <formula>NOT(ISERROR(SEARCH("MinorMech",AC141)))</formula>
    </cfRule>
    <cfRule type="containsText" dxfId="116" priority="78" operator="containsText" text="CatasData">
      <formula>NOT(ISERROR(SEARCH("CatasData",AC141)))</formula>
    </cfRule>
    <cfRule type="containsText" dxfId="115" priority="79" operator="containsText" text="HazardDelay">
      <formula>NOT(ISERROR(SEARCH("HazardDelay",AC141)))</formula>
    </cfRule>
    <cfRule type="containsText" dxfId="114" priority="80" operator="containsText" text="MajorDelay">
      <formula>NOT(ISERROR(SEARCH("MajorDelay",AC141)))</formula>
    </cfRule>
    <cfRule type="containsText" dxfId="113" priority="81" operator="containsText" text="MinorDelay">
      <formula>NOT(ISERROR(SEARCH("MinorDelay",AC141)))</formula>
    </cfRule>
    <cfRule type="containsText" dxfId="112" priority="82" operator="containsText" text="Working">
      <formula>NOT(ISERROR(SEARCH("Working",AC141)))</formula>
    </cfRule>
  </conditionalFormatting>
  <conditionalFormatting sqref="AF7:AJ11">
    <cfRule type="containsText" dxfId="111" priority="37" operator="containsText" text="LossElec">
      <formula>NOT(ISERROR(SEARCH("LossElec",AF7)))</formula>
    </cfRule>
    <cfRule type="containsText" dxfId="110" priority="38" operator="containsText" text="HazardElec">
      <formula>NOT(ISERROR(SEARCH("HazardElec",AF7)))</formula>
    </cfRule>
    <cfRule type="containsText" dxfId="109" priority="39" operator="containsText" text="MajorElec">
      <formula>NOT(ISERROR(SEARCH("MajorElec",AF7)))</formula>
    </cfRule>
    <cfRule type="containsText" dxfId="108" priority="40" operator="containsText" text="MinorElec">
      <formula>NOT(ISERROR(SEARCH("MinorElec",AF7)))</formula>
    </cfRule>
    <cfRule type="containsText" dxfId="107" priority="41" operator="containsText" text="Working">
      <formula>NOT(ISERROR(SEARCH("Working",AF7)))</formula>
    </cfRule>
  </conditionalFormatting>
  <conditionalFormatting sqref="AC4:AD5 AC8:AD11 AF5:AJ5 AF7:AJ11 AG4:AJ4 AD7">
    <cfRule type="containsText" dxfId="106" priority="55" operator="containsText" text="CatasElec">
      <formula>NOT(ISERROR(SEARCH("CatasElec",AC4)))</formula>
    </cfRule>
    <cfRule type="containsText" dxfId="105" priority="56" operator="containsText" text="HazardElec">
      <formula>NOT(ISERROR(SEARCH("HazardElec",AC4)))</formula>
    </cfRule>
    <cfRule type="containsText" dxfId="104" priority="57" operator="containsText" text="MajorElec">
      <formula>NOT(ISERROR(SEARCH("MajorElec",AC4)))</formula>
    </cfRule>
    <cfRule type="containsText" dxfId="103" priority="58" operator="containsText" text="MinorElec">
      <formula>NOT(ISERROR(SEARCH("MinorElec",AC4)))</formula>
    </cfRule>
    <cfRule type="containsText" dxfId="102" priority="59" operator="containsText" text="Working">
      <formula>NOT(ISERROR(SEARCH("Working",AC4)))</formula>
    </cfRule>
  </conditionalFormatting>
  <conditionalFormatting sqref="AC4:AD5 AF5:AJ5 AC8:AD11 AF7:AJ11 AG4:AJ4 AD7">
    <cfRule type="containsText" dxfId="101" priority="42" operator="containsText" text="HazardTemp">
      <formula>NOT(ISERROR(SEARCH("HazardTemp",AC4)))</formula>
    </cfRule>
    <cfRule type="containsText" dxfId="100" priority="43" operator="containsText" text="CatasTemp">
      <formula>NOT(ISERROR(SEARCH("CatasTemp",AC4)))</formula>
    </cfRule>
    <cfRule type="containsText" dxfId="99" priority="44" operator="containsText" text="MajorTemp">
      <formula>NOT(ISERROR(SEARCH("MajorTemp",AC4)))</formula>
    </cfRule>
    <cfRule type="containsText" dxfId="98" priority="45" operator="containsText" text="MinorTemp">
      <formula>NOT(ISERROR(SEARCH("MinorTemp",AC4)))</formula>
    </cfRule>
    <cfRule type="containsText" dxfId="97" priority="46" operator="containsText" text="CatasMech">
      <formula>NOT(ISERROR(SEARCH("CatasMech",AC4)))</formula>
    </cfRule>
    <cfRule type="containsText" dxfId="96" priority="47" operator="containsText" text="HazardMech">
      <formula>NOT(ISERROR(SEARCH("HazardMech",AC4)))</formula>
    </cfRule>
    <cfRule type="containsText" dxfId="95" priority="48" operator="containsText" text="MajorMech">
      <formula>NOT(ISERROR(SEARCH("MajorMech",AC4)))</formula>
    </cfRule>
    <cfRule type="containsText" dxfId="94" priority="49" operator="containsText" text="MinorMech">
      <formula>NOT(ISERROR(SEARCH("MinorMech",AC4)))</formula>
    </cfRule>
    <cfRule type="containsText" dxfId="93" priority="50" operator="containsText" text="CatasData">
      <formula>NOT(ISERROR(SEARCH("CatasData",AC4)))</formula>
    </cfRule>
    <cfRule type="containsText" dxfId="92" priority="51" operator="containsText" text="HazardDelay">
      <formula>NOT(ISERROR(SEARCH("HazardDelay",AC4)))</formula>
    </cfRule>
    <cfRule type="containsText" dxfId="91" priority="52" operator="containsText" text="MajorDelay">
      <formula>NOT(ISERROR(SEARCH("MajorDelay",AC4)))</formula>
    </cfRule>
    <cfRule type="containsText" dxfId="90" priority="53" operator="containsText" text="MinorDelay">
      <formula>NOT(ISERROR(SEARCH("MinorDelay",AC4)))</formula>
    </cfRule>
    <cfRule type="containsText" dxfId="89" priority="54" operator="containsText" text="Working">
      <formula>NOT(ISERROR(SEARCH("Working",AC4)))</formula>
    </cfRule>
  </conditionalFormatting>
  <conditionalFormatting sqref="AF4">
    <cfRule type="containsText" dxfId="35" priority="32" operator="containsText" text="CatasElec">
      <formula>NOT(ISERROR(SEARCH("CatasElec",AF4)))</formula>
    </cfRule>
    <cfRule type="containsText" dxfId="34" priority="33" operator="containsText" text="HazardElec">
      <formula>NOT(ISERROR(SEARCH("HazardElec",AF4)))</formula>
    </cfRule>
    <cfRule type="containsText" dxfId="33" priority="34" operator="containsText" text="MajorElec">
      <formula>NOT(ISERROR(SEARCH("MajorElec",AF4)))</formula>
    </cfRule>
    <cfRule type="containsText" dxfId="32" priority="35" operator="containsText" text="MinorElec">
      <formula>NOT(ISERROR(SEARCH("MinorElec",AF4)))</formula>
    </cfRule>
    <cfRule type="containsText" dxfId="31" priority="36" operator="containsText" text="Working">
      <formula>NOT(ISERROR(SEARCH("Working",AF4)))</formula>
    </cfRule>
  </conditionalFormatting>
  <conditionalFormatting sqref="AF4">
    <cfRule type="containsText" dxfId="30" priority="19" operator="containsText" text="HazardTemp">
      <formula>NOT(ISERROR(SEARCH("HazardTemp",AF4)))</formula>
    </cfRule>
    <cfRule type="containsText" dxfId="29" priority="20" operator="containsText" text="CatasTemp">
      <formula>NOT(ISERROR(SEARCH("CatasTemp",AF4)))</formula>
    </cfRule>
    <cfRule type="containsText" dxfId="28" priority="21" operator="containsText" text="MajorTemp">
      <formula>NOT(ISERROR(SEARCH("MajorTemp",AF4)))</formula>
    </cfRule>
    <cfRule type="containsText" dxfId="27" priority="22" operator="containsText" text="MinorTemp">
      <formula>NOT(ISERROR(SEARCH("MinorTemp",AF4)))</formula>
    </cfRule>
    <cfRule type="containsText" dxfId="26" priority="23" operator="containsText" text="CatasMech">
      <formula>NOT(ISERROR(SEARCH("CatasMech",AF4)))</formula>
    </cfRule>
    <cfRule type="containsText" dxfId="25" priority="24" operator="containsText" text="HazardMech">
      <formula>NOT(ISERROR(SEARCH("HazardMech",AF4)))</formula>
    </cfRule>
    <cfRule type="containsText" dxfId="24" priority="25" operator="containsText" text="MajorMech">
      <formula>NOT(ISERROR(SEARCH("MajorMech",AF4)))</formula>
    </cfRule>
    <cfRule type="containsText" dxfId="23" priority="26" operator="containsText" text="MinorMech">
      <formula>NOT(ISERROR(SEARCH("MinorMech",AF4)))</formula>
    </cfRule>
    <cfRule type="containsText" dxfId="22" priority="27" operator="containsText" text="CatasData">
      <formula>NOT(ISERROR(SEARCH("CatasData",AF4)))</formula>
    </cfRule>
    <cfRule type="containsText" dxfId="21" priority="28" operator="containsText" text="HazardDelay">
      <formula>NOT(ISERROR(SEARCH("HazardDelay",AF4)))</formula>
    </cfRule>
    <cfRule type="containsText" dxfId="20" priority="29" operator="containsText" text="MajorDelay">
      <formula>NOT(ISERROR(SEARCH("MajorDelay",AF4)))</formula>
    </cfRule>
    <cfRule type="containsText" dxfId="19" priority="30" operator="containsText" text="MinorDelay">
      <formula>NOT(ISERROR(SEARCH("MinorDelay",AF4)))</formula>
    </cfRule>
    <cfRule type="containsText" dxfId="18" priority="31" operator="containsText" text="Working">
      <formula>NOT(ISERROR(SEARCH("Working",AF4)))</formula>
    </cfRule>
  </conditionalFormatting>
  <conditionalFormatting sqref="AC7">
    <cfRule type="containsText" dxfId="17" priority="14" operator="containsText" text="CatasElec">
      <formula>NOT(ISERROR(SEARCH("CatasElec",AC7)))</formula>
    </cfRule>
    <cfRule type="containsText" dxfId="16" priority="15" operator="containsText" text="HazardElec">
      <formula>NOT(ISERROR(SEARCH("HazardElec",AC7)))</formula>
    </cfRule>
    <cfRule type="containsText" dxfId="15" priority="16" operator="containsText" text="MajorElec">
      <formula>NOT(ISERROR(SEARCH("MajorElec",AC7)))</formula>
    </cfRule>
    <cfRule type="containsText" dxfId="14" priority="17" operator="containsText" text="MinorElec">
      <formula>NOT(ISERROR(SEARCH("MinorElec",AC7)))</formula>
    </cfRule>
    <cfRule type="containsText" dxfId="13" priority="18" operator="containsText" text="Working">
      <formula>NOT(ISERROR(SEARCH("Working",AC7)))</formula>
    </cfRule>
  </conditionalFormatting>
  <conditionalFormatting sqref="AC7">
    <cfRule type="containsText" dxfId="12" priority="1" operator="containsText" text="HazardTemp">
      <formula>NOT(ISERROR(SEARCH("HazardTemp",AC7)))</formula>
    </cfRule>
    <cfRule type="containsText" dxfId="11" priority="2" operator="containsText" text="CatasTemp">
      <formula>NOT(ISERROR(SEARCH("CatasTemp",AC7)))</formula>
    </cfRule>
    <cfRule type="containsText" dxfId="10" priority="3" operator="containsText" text="MajorTemp">
      <formula>NOT(ISERROR(SEARCH("MajorTemp",AC7)))</formula>
    </cfRule>
    <cfRule type="containsText" dxfId="9" priority="4" operator="containsText" text="MinorTemp">
      <formula>NOT(ISERROR(SEARCH("MinorTemp",AC7)))</formula>
    </cfRule>
    <cfRule type="containsText" dxfId="8" priority="5" operator="containsText" text="CatasMech">
      <formula>NOT(ISERROR(SEARCH("CatasMech",AC7)))</formula>
    </cfRule>
    <cfRule type="containsText" dxfId="7" priority="6" operator="containsText" text="HazardMech">
      <formula>NOT(ISERROR(SEARCH("HazardMech",AC7)))</formula>
    </cfRule>
    <cfRule type="containsText" dxfId="6" priority="7" operator="containsText" text="MajorMech">
      <formula>NOT(ISERROR(SEARCH("MajorMech",AC7)))</formula>
    </cfRule>
    <cfRule type="containsText" dxfId="5" priority="8" operator="containsText" text="MinorMech">
      <formula>NOT(ISERROR(SEARCH("MinorMech",AC7)))</formula>
    </cfRule>
    <cfRule type="containsText" dxfId="4" priority="9" operator="containsText" text="CatasData">
      <formula>NOT(ISERROR(SEARCH("CatasData",AC7)))</formula>
    </cfRule>
    <cfRule type="containsText" dxfId="3" priority="10" operator="containsText" text="HazardDelay">
      <formula>NOT(ISERROR(SEARCH("HazardDelay",AC7)))</formula>
    </cfRule>
    <cfRule type="containsText" dxfId="2" priority="11" operator="containsText" text="MajorDelay">
      <formula>NOT(ISERROR(SEARCH("MajorDelay",AC7)))</formula>
    </cfRule>
    <cfRule type="containsText" dxfId="1" priority="12" operator="containsText" text="MinorDelay">
      <formula>NOT(ISERROR(SEARCH("MinorDelay",AC7)))</formula>
    </cfRule>
    <cfRule type="containsText" dxfId="0" priority="13" operator="containsText" text="Working">
      <formula>NOT(ISERROR(SEARCH("Working",AC7)))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28C0-8BC7-4966-A1A9-4D4941D3B223}">
  <sheetPr codeName="Sheet2"/>
  <dimension ref="A1:AE38"/>
  <sheetViews>
    <sheetView topLeftCell="I13" zoomScale="130" workbookViewId="0">
      <selection activeCell="U10" sqref="U10"/>
    </sheetView>
  </sheetViews>
  <sheetFormatPr defaultRowHeight="14.4" x14ac:dyDescent="0.3"/>
  <cols>
    <col min="1" max="1" width="16.21875" style="50" customWidth="1"/>
    <col min="2" max="2" width="8.88671875" style="50"/>
    <col min="3" max="3" width="17.33203125" style="50" customWidth="1"/>
    <col min="30" max="30" width="10" bestFit="1" customWidth="1"/>
  </cols>
  <sheetData>
    <row r="1" spans="1:31" ht="15" thickBot="1" x14ac:dyDescent="0.35">
      <c r="A1" s="178" t="s">
        <v>103</v>
      </c>
      <c r="B1" s="177" t="s">
        <v>104</v>
      </c>
      <c r="C1" s="178" t="s">
        <v>105</v>
      </c>
    </row>
    <row r="2" spans="1:31" x14ac:dyDescent="0.3">
      <c r="A2" s="171" t="s">
        <v>23</v>
      </c>
      <c r="B2" s="172">
        <v>0</v>
      </c>
      <c r="C2" s="173" t="s">
        <v>3</v>
      </c>
    </row>
    <row r="3" spans="1:31" x14ac:dyDescent="0.3">
      <c r="A3" s="171" t="s">
        <v>23</v>
      </c>
      <c r="B3" s="172">
        <v>1</v>
      </c>
      <c r="C3" s="173" t="s">
        <v>21</v>
      </c>
    </row>
    <row r="4" spans="1:31" x14ac:dyDescent="0.3">
      <c r="A4" s="171" t="s">
        <v>23</v>
      </c>
      <c r="B4" s="172">
        <v>2</v>
      </c>
      <c r="C4" s="173" t="s">
        <v>17</v>
      </c>
    </row>
    <row r="5" spans="1:31" x14ac:dyDescent="0.3">
      <c r="A5" s="171" t="s">
        <v>23</v>
      </c>
      <c r="B5" s="172">
        <v>3</v>
      </c>
      <c r="C5" s="173" t="s">
        <v>268</v>
      </c>
    </row>
    <row r="6" spans="1:31" x14ac:dyDescent="0.3">
      <c r="A6" s="171" t="s">
        <v>23</v>
      </c>
      <c r="B6" s="172">
        <v>4</v>
      </c>
      <c r="C6" s="173" t="s">
        <v>267</v>
      </c>
    </row>
    <row r="7" spans="1:31" x14ac:dyDescent="0.3">
      <c r="A7" s="179" t="s">
        <v>99</v>
      </c>
      <c r="B7" s="180">
        <v>0</v>
      </c>
      <c r="C7" s="181" t="s">
        <v>3</v>
      </c>
    </row>
    <row r="8" spans="1:31" x14ac:dyDescent="0.3">
      <c r="A8" s="171" t="s">
        <v>99</v>
      </c>
      <c r="B8" s="172">
        <v>1</v>
      </c>
      <c r="C8" s="173" t="s">
        <v>4</v>
      </c>
    </row>
    <row r="9" spans="1:31" x14ac:dyDescent="0.3">
      <c r="A9" s="171" t="s">
        <v>99</v>
      </c>
      <c r="B9" s="172">
        <v>2</v>
      </c>
      <c r="C9" s="173" t="s">
        <v>2</v>
      </c>
      <c r="Q9" s="33"/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1"/>
    </row>
    <row r="10" spans="1:31" x14ac:dyDescent="0.3">
      <c r="A10" s="171" t="s">
        <v>99</v>
      </c>
      <c r="B10" s="172">
        <v>3</v>
      </c>
      <c r="C10" s="173" t="s">
        <v>1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</row>
    <row r="11" spans="1:31" x14ac:dyDescent="0.3">
      <c r="A11" s="182" t="s">
        <v>99</v>
      </c>
      <c r="B11" s="175">
        <v>4</v>
      </c>
      <c r="C11" s="176" t="s">
        <v>269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</row>
    <row r="12" spans="1:31" x14ac:dyDescent="0.3">
      <c r="A12" s="179" t="s">
        <v>106</v>
      </c>
      <c r="B12" s="180">
        <v>0</v>
      </c>
      <c r="C12" s="181" t="s">
        <v>3</v>
      </c>
      <c r="O12" s="50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</row>
    <row r="13" spans="1:31" x14ac:dyDescent="0.3">
      <c r="A13" s="171" t="s">
        <v>106</v>
      </c>
      <c r="B13" s="172">
        <v>1</v>
      </c>
      <c r="C13" s="173" t="s">
        <v>22</v>
      </c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</row>
    <row r="14" spans="1:31" x14ac:dyDescent="0.3">
      <c r="A14" s="171" t="s">
        <v>106</v>
      </c>
      <c r="B14" s="172">
        <v>2</v>
      </c>
      <c r="C14" s="173" t="s">
        <v>20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</row>
    <row r="15" spans="1:31" x14ac:dyDescent="0.3">
      <c r="A15" s="171" t="s">
        <v>106</v>
      </c>
      <c r="B15" s="172">
        <v>3</v>
      </c>
      <c r="C15" s="92" t="s">
        <v>18</v>
      </c>
    </row>
    <row r="16" spans="1:31" x14ac:dyDescent="0.3">
      <c r="A16" s="182" t="s">
        <v>106</v>
      </c>
      <c r="B16" s="175">
        <v>4</v>
      </c>
      <c r="C16" s="176" t="s">
        <v>270</v>
      </c>
    </row>
    <row r="17" spans="1:26" x14ac:dyDescent="0.3">
      <c r="A17" s="179" t="s">
        <v>12</v>
      </c>
      <c r="B17" s="180">
        <v>0</v>
      </c>
      <c r="C17" s="181" t="s">
        <v>3</v>
      </c>
    </row>
    <row r="18" spans="1:26" x14ac:dyDescent="0.3">
      <c r="A18" s="171" t="s">
        <v>12</v>
      </c>
      <c r="B18" s="172">
        <v>1</v>
      </c>
      <c r="C18" s="173" t="s">
        <v>9</v>
      </c>
    </row>
    <row r="19" spans="1:26" x14ac:dyDescent="0.3">
      <c r="A19" s="171" t="s">
        <v>12</v>
      </c>
      <c r="B19" s="172">
        <v>2</v>
      </c>
      <c r="C19" s="173" t="s">
        <v>8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8"/>
      <c r="W19" s="28"/>
      <c r="X19" s="28"/>
      <c r="Y19" s="28"/>
      <c r="Z19" s="28"/>
    </row>
    <row r="20" spans="1:26" x14ac:dyDescent="0.3">
      <c r="A20" s="171" t="s">
        <v>12</v>
      </c>
      <c r="B20" s="172">
        <v>3</v>
      </c>
      <c r="C20" s="173" t="s">
        <v>7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8"/>
      <c r="W20" s="28"/>
      <c r="X20" s="28"/>
      <c r="Y20" s="28"/>
      <c r="Z20" s="28"/>
    </row>
    <row r="21" spans="1:26" x14ac:dyDescent="0.3">
      <c r="A21" s="182" t="s">
        <v>12</v>
      </c>
      <c r="B21" s="175">
        <v>4</v>
      </c>
      <c r="C21" s="176" t="s">
        <v>271</v>
      </c>
      <c r="L21" s="26"/>
      <c r="M21" s="26"/>
      <c r="N21" s="26"/>
      <c r="O21" s="26"/>
      <c r="P21" s="26"/>
      <c r="Q21" s="39" t="s">
        <v>69</v>
      </c>
      <c r="R21" s="44"/>
      <c r="S21" s="44"/>
      <c r="T21" s="44"/>
      <c r="U21" s="39" t="s">
        <v>66</v>
      </c>
      <c r="V21" s="26"/>
      <c r="W21" s="26"/>
      <c r="X21" s="26"/>
      <c r="Y21" s="26"/>
      <c r="Z21" s="26"/>
    </row>
    <row r="22" spans="1:26" ht="15.6" x14ac:dyDescent="0.3">
      <c r="A22" s="179" t="s">
        <v>101</v>
      </c>
      <c r="B22" s="180">
        <v>0</v>
      </c>
      <c r="C22" s="181" t="s">
        <v>3</v>
      </c>
      <c r="L22" s="26"/>
      <c r="M22" s="26"/>
      <c r="N22" s="27"/>
      <c r="O22" s="31"/>
      <c r="P22" s="15" t="s">
        <v>65</v>
      </c>
      <c r="Q22" s="352" t="s">
        <v>71</v>
      </c>
      <c r="R22" s="353"/>
      <c r="S22" s="353"/>
      <c r="T22" s="353"/>
      <c r="U22" s="354"/>
      <c r="V22" s="26"/>
      <c r="W22" s="26"/>
      <c r="X22" s="26"/>
      <c r="Y22" s="26"/>
      <c r="Z22" s="26"/>
    </row>
    <row r="23" spans="1:26" x14ac:dyDescent="0.3">
      <c r="A23" s="171" t="s">
        <v>101</v>
      </c>
      <c r="B23" s="172">
        <v>1</v>
      </c>
      <c r="C23" s="173" t="s">
        <v>212</v>
      </c>
      <c r="L23" s="26"/>
      <c r="M23" s="26"/>
      <c r="N23" s="27"/>
      <c r="O23" s="20" t="s">
        <v>67</v>
      </c>
      <c r="P23" s="21" t="s">
        <v>40</v>
      </c>
      <c r="Q23" s="12" t="s">
        <v>3</v>
      </c>
      <c r="R23" s="11" t="s">
        <v>4</v>
      </c>
      <c r="S23" s="11" t="s">
        <v>2</v>
      </c>
      <c r="T23" s="11" t="s">
        <v>1</v>
      </c>
      <c r="U23" s="10" t="s">
        <v>0</v>
      </c>
      <c r="V23" s="26"/>
      <c r="W23" s="26"/>
      <c r="X23" s="26"/>
      <c r="Y23" s="26"/>
      <c r="Z23" s="26"/>
    </row>
    <row r="24" spans="1:26" x14ac:dyDescent="0.3">
      <c r="A24" s="171" t="s">
        <v>101</v>
      </c>
      <c r="B24" s="172">
        <v>2</v>
      </c>
      <c r="C24" s="173" t="s">
        <v>213</v>
      </c>
      <c r="L24" s="26"/>
      <c r="M24" s="26"/>
      <c r="N24" s="39" t="s">
        <v>68</v>
      </c>
      <c r="O24" s="366" t="s">
        <v>70</v>
      </c>
      <c r="P24" s="9" t="s">
        <v>3</v>
      </c>
      <c r="Q24" s="8" t="s">
        <v>3</v>
      </c>
      <c r="R24" s="8" t="s">
        <v>4</v>
      </c>
      <c r="S24" s="8" t="s">
        <v>2</v>
      </c>
      <c r="T24" s="8" t="s">
        <v>1</v>
      </c>
      <c r="U24" s="7" t="s">
        <v>0</v>
      </c>
      <c r="V24" s="26"/>
      <c r="W24" s="26"/>
      <c r="X24" s="26"/>
      <c r="Y24" s="26"/>
      <c r="Z24" s="26"/>
    </row>
    <row r="25" spans="1:26" x14ac:dyDescent="0.3">
      <c r="A25" s="171" t="s">
        <v>101</v>
      </c>
      <c r="B25" s="172">
        <v>3</v>
      </c>
      <c r="C25" s="173" t="s">
        <v>214</v>
      </c>
      <c r="L25" s="26"/>
      <c r="M25" s="26"/>
      <c r="N25" s="27"/>
      <c r="O25" s="367"/>
      <c r="P25" s="6" t="s">
        <v>4</v>
      </c>
      <c r="Q25" s="5" t="s">
        <v>4</v>
      </c>
      <c r="R25" s="5" t="s">
        <v>4</v>
      </c>
      <c r="S25" s="5" t="s">
        <v>2</v>
      </c>
      <c r="T25" s="5" t="s">
        <v>1</v>
      </c>
      <c r="U25" s="4" t="s">
        <v>0</v>
      </c>
      <c r="V25" s="26"/>
      <c r="W25" s="26"/>
      <c r="X25" s="26"/>
      <c r="Y25" s="26"/>
      <c r="Z25" s="26"/>
    </row>
    <row r="26" spans="1:26" x14ac:dyDescent="0.3">
      <c r="A26" s="182" t="s">
        <v>101</v>
      </c>
      <c r="B26" s="175">
        <v>4</v>
      </c>
      <c r="C26" s="176" t="s">
        <v>215</v>
      </c>
      <c r="L26" s="26"/>
      <c r="M26" s="26"/>
      <c r="N26" s="26"/>
      <c r="O26" s="367"/>
      <c r="P26" s="6" t="s">
        <v>2</v>
      </c>
      <c r="Q26" s="5" t="s">
        <v>2</v>
      </c>
      <c r="R26" s="5" t="s">
        <v>2</v>
      </c>
      <c r="S26" s="5" t="s">
        <v>2</v>
      </c>
      <c r="T26" s="5" t="s">
        <v>1</v>
      </c>
      <c r="U26" s="4" t="s">
        <v>0</v>
      </c>
      <c r="V26" s="26"/>
      <c r="W26" s="26"/>
      <c r="X26" s="26"/>
      <c r="Y26" s="26"/>
      <c r="Z26" s="26"/>
    </row>
    <row r="27" spans="1:26" x14ac:dyDescent="0.3">
      <c r="A27" s="76" t="s">
        <v>115</v>
      </c>
      <c r="B27" s="180">
        <v>0</v>
      </c>
      <c r="C27" s="83" t="s">
        <v>3</v>
      </c>
      <c r="L27" s="26"/>
      <c r="M27" s="26"/>
      <c r="N27" s="26"/>
      <c r="O27" s="367"/>
      <c r="P27" s="6" t="s">
        <v>1</v>
      </c>
      <c r="Q27" s="5" t="s">
        <v>1</v>
      </c>
      <c r="R27" s="5" t="s">
        <v>1</v>
      </c>
      <c r="S27" s="5" t="s">
        <v>1</v>
      </c>
      <c r="T27" s="5" t="s">
        <v>1</v>
      </c>
      <c r="U27" s="4" t="s">
        <v>0</v>
      </c>
      <c r="V27" s="26"/>
      <c r="W27" s="26"/>
      <c r="X27" s="26"/>
      <c r="Y27" s="26"/>
      <c r="Z27" s="26"/>
    </row>
    <row r="28" spans="1:26" x14ac:dyDescent="0.3">
      <c r="A28" s="82" t="s">
        <v>115</v>
      </c>
      <c r="B28" s="172">
        <v>1</v>
      </c>
      <c r="C28" s="173" t="s">
        <v>84</v>
      </c>
      <c r="L28" s="26"/>
      <c r="M28" s="26"/>
      <c r="N28" s="26"/>
      <c r="O28" s="368"/>
      <c r="P28" s="3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1" t="s">
        <v>0</v>
      </c>
      <c r="V28" s="26"/>
      <c r="W28" s="26"/>
      <c r="X28" s="26"/>
      <c r="Y28" s="26"/>
      <c r="Z28" s="26"/>
    </row>
    <row r="29" spans="1:26" x14ac:dyDescent="0.3">
      <c r="A29" s="82" t="s">
        <v>115</v>
      </c>
      <c r="B29" s="172">
        <v>2</v>
      </c>
      <c r="C29" s="173" t="s">
        <v>85</v>
      </c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x14ac:dyDescent="0.3">
      <c r="A30" s="82" t="s">
        <v>115</v>
      </c>
      <c r="B30" s="172">
        <v>3</v>
      </c>
      <c r="C30" s="173" t="s">
        <v>86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x14ac:dyDescent="0.3">
      <c r="A31" s="174" t="s">
        <v>115</v>
      </c>
      <c r="B31" s="175">
        <v>4</v>
      </c>
      <c r="C31" s="176" t="s">
        <v>272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x14ac:dyDescent="0.3"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7:26" x14ac:dyDescent="0.3"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7:26" x14ac:dyDescent="0.3">
      <c r="G34" s="28"/>
      <c r="H34" s="28"/>
      <c r="I34" s="28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7:26" x14ac:dyDescent="0.3">
      <c r="G35" s="28"/>
      <c r="H35" s="28"/>
      <c r="I35" s="28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7:26" x14ac:dyDescent="0.3">
      <c r="G36" s="28"/>
      <c r="H36" s="28"/>
      <c r="I36" s="28"/>
    </row>
    <row r="37" spans="7:26" x14ac:dyDescent="0.3">
      <c r="G37" s="28"/>
      <c r="H37" s="28"/>
      <c r="I37" s="28"/>
    </row>
    <row r="38" spans="7:26" x14ac:dyDescent="0.3">
      <c r="G38" s="28"/>
      <c r="H38" s="28"/>
      <c r="I38" s="28"/>
    </row>
  </sheetData>
  <mergeCells count="2">
    <mergeCell ref="Q22:U22"/>
    <mergeCell ref="O24:O28"/>
  </mergeCells>
  <conditionalFormatting sqref="U21">
    <cfRule type="containsText" dxfId="88" priority="11" operator="containsText" text="LossData">
      <formula>NOT(ISERROR(SEARCH("LossData",U21)))</formula>
    </cfRule>
    <cfRule type="containsText" dxfId="87" priority="12" operator="containsText" text="MajorDelay">
      <formula>NOT(ISERROR(SEARCH("MajorDelay",U21)))</formula>
    </cfRule>
    <cfRule type="containsText" dxfId="86" priority="13" operator="containsText" text="DataCorrupt">
      <formula>NOT(ISERROR(SEARCH("DataCorrupt",U21)))</formula>
    </cfRule>
    <cfRule type="containsText" dxfId="85" priority="14" operator="containsText" text="MinorDelay">
      <formula>NOT(ISERROR(SEARCH("MinorDelay",U21)))</formula>
    </cfRule>
    <cfRule type="containsText" dxfId="84" priority="15" operator="containsText" text="Working">
      <formula>NOT(ISERROR(SEARCH("Working",U21)))</formula>
    </cfRule>
  </conditionalFormatting>
  <conditionalFormatting sqref="Q21">
    <cfRule type="containsText" dxfId="83" priority="1" operator="containsText" text="LossData">
      <formula>NOT(ISERROR(SEARCH("LossData",Q21)))</formula>
    </cfRule>
    <cfRule type="containsText" dxfId="82" priority="2" operator="containsText" text="MajorDelay">
      <formula>NOT(ISERROR(SEARCH("MajorDelay",Q21)))</formula>
    </cfRule>
    <cfRule type="containsText" dxfId="81" priority="3" operator="containsText" text="DataCorrupt">
      <formula>NOT(ISERROR(SEARCH("DataCorrupt",Q21)))</formula>
    </cfRule>
    <cfRule type="containsText" dxfId="80" priority="4" operator="containsText" text="MinorDelay">
      <formula>NOT(ISERROR(SEARCH("MinorDelay",Q21)))</formula>
    </cfRule>
    <cfRule type="containsText" dxfId="79" priority="5" operator="containsText" text="Working">
      <formula>NOT(ISERROR(SEARCH("Working",Q21)))</formula>
    </cfRule>
  </conditionalFormatting>
  <conditionalFormatting sqref="Q24:U28">
    <cfRule type="containsText" dxfId="78" priority="16" operator="containsText" text="LossMech">
      <formula>NOT(ISERROR(SEARCH("LossMech",Q24)))</formula>
    </cfRule>
    <cfRule type="containsText" dxfId="77" priority="17" operator="containsText" text="HazardMech">
      <formula>NOT(ISERROR(SEARCH("HazardMech",Q24)))</formula>
    </cfRule>
    <cfRule type="containsText" dxfId="76" priority="18" operator="containsText" text="MajorMech">
      <formula>NOT(ISERROR(SEARCH("MajorMech",Q24)))</formula>
    </cfRule>
    <cfRule type="containsText" dxfId="75" priority="19" operator="containsText" text="MinorMech">
      <formula>NOT(ISERROR(SEARCH("MinorMech",Q24)))</formula>
    </cfRule>
    <cfRule type="containsText" dxfId="74" priority="20" operator="containsText" text="Working">
      <formula>NOT(ISERROR(SEARCH("Working",Q24)))</formula>
    </cfRule>
  </conditionalFormatting>
  <conditionalFormatting sqref="N24">
    <cfRule type="containsText" dxfId="73" priority="6" operator="containsText" text="LossData">
      <formula>NOT(ISERROR(SEARCH("LossData",N24)))</formula>
    </cfRule>
    <cfRule type="containsText" dxfId="72" priority="7" operator="containsText" text="MajorDelay">
      <formula>NOT(ISERROR(SEARCH("MajorDelay",N24)))</formula>
    </cfRule>
    <cfRule type="containsText" dxfId="71" priority="8" operator="containsText" text="DataCorrupt">
      <formula>NOT(ISERROR(SEARCH("DataCorrupt",N24)))</formula>
    </cfRule>
    <cfRule type="containsText" dxfId="70" priority="9" operator="containsText" text="MinorDelay">
      <formula>NOT(ISERROR(SEARCH("MinorDelay",N24)))</formula>
    </cfRule>
    <cfRule type="containsText" dxfId="69" priority="10" operator="containsText" text="Working">
      <formula>NOT(ISERROR(SEARCH("Working",N24)))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0E24-E6B3-4069-AF0B-460F3ADB24A5}">
  <sheetPr codeName="Sheet3"/>
  <dimension ref="A1:BC44"/>
  <sheetViews>
    <sheetView zoomScale="108" zoomScaleNormal="115" workbookViewId="0">
      <pane xSplit="2" topLeftCell="C1" activePane="topRight" state="frozen"/>
      <selection pane="topRight" activeCell="E23" sqref="E23"/>
    </sheetView>
  </sheetViews>
  <sheetFormatPr defaultRowHeight="14.4" x14ac:dyDescent="0.3"/>
  <cols>
    <col min="1" max="1" width="10.33203125" style="50" bestFit="1" customWidth="1"/>
    <col min="2" max="2" width="10.77734375" style="50" bestFit="1" customWidth="1"/>
    <col min="3" max="3" width="8.88671875" style="124"/>
    <col min="4" max="4" width="9.77734375" style="50" customWidth="1"/>
    <col min="5" max="5" width="8.88671875" style="124"/>
    <col min="6" max="6" width="10" style="50" bestFit="1" customWidth="1"/>
    <col min="7" max="7" width="8.88671875" style="124"/>
    <col min="8" max="8" width="11.44140625" style="50" bestFit="1" customWidth="1"/>
    <col min="9" max="9" width="11.44140625" style="124" customWidth="1"/>
    <col min="10" max="10" width="14.33203125" style="50" bestFit="1" customWidth="1"/>
    <col min="11" max="11" width="14.33203125" style="124" customWidth="1"/>
    <col min="12" max="12" width="8.88671875" style="50"/>
    <col min="13" max="13" width="8.88671875" style="124"/>
    <col min="14" max="14" width="8.88671875" style="50"/>
    <col min="15" max="15" width="8.88671875" style="131"/>
    <col min="16" max="16" width="11.21875" style="125" bestFit="1" customWidth="1"/>
    <col min="17" max="17" width="8.88671875" style="50"/>
    <col min="18" max="18" width="8.88671875" style="132"/>
    <col min="19" max="19" width="10.44140625" style="132" customWidth="1"/>
    <col min="20" max="20" width="11.6640625" style="132" bestFit="1" customWidth="1"/>
    <col min="21" max="23" width="11.44140625" style="132" bestFit="1" customWidth="1"/>
    <col min="24" max="24" width="11.6640625" style="132" bestFit="1" customWidth="1"/>
    <col min="25" max="25" width="9.33203125" style="132" bestFit="1" customWidth="1"/>
    <col min="26" max="29" width="8.88671875" style="132"/>
    <col min="30" max="30" width="10.21875" style="132" bestFit="1" customWidth="1"/>
    <col min="31" max="31" width="8.88671875" style="132"/>
    <col min="32" max="32" width="10.33203125" style="132" bestFit="1" customWidth="1"/>
    <col min="33" max="33" width="8.88671875" style="132"/>
    <col min="34" max="34" width="10.44140625" style="132" customWidth="1"/>
    <col min="35" max="35" width="10.77734375" style="132" customWidth="1"/>
    <col min="36" max="36" width="11" style="132" customWidth="1"/>
    <col min="37" max="37" width="9" style="132" customWidth="1"/>
    <col min="38" max="55" width="8.88671875" style="132"/>
    <col min="56" max="16384" width="8.88671875" style="50"/>
  </cols>
  <sheetData>
    <row r="1" spans="1:37" ht="15.6" customHeight="1" x14ac:dyDescent="0.25">
      <c r="A1" s="76"/>
      <c r="B1" s="77"/>
      <c r="C1" s="78" t="s">
        <v>87</v>
      </c>
      <c r="D1" s="77" t="s">
        <v>88</v>
      </c>
      <c r="E1" s="79"/>
      <c r="F1" s="77"/>
      <c r="G1" s="79"/>
      <c r="H1" s="77"/>
      <c r="I1" s="79"/>
      <c r="J1" s="77"/>
      <c r="K1" s="79"/>
      <c r="L1" s="77"/>
      <c r="M1" s="79"/>
      <c r="N1" s="77"/>
      <c r="O1" s="80"/>
      <c r="P1" s="81"/>
    </row>
    <row r="2" spans="1:37" ht="25.8" customHeight="1" x14ac:dyDescent="0.3">
      <c r="A2" s="82"/>
      <c r="C2" s="385" t="s">
        <v>27</v>
      </c>
      <c r="D2" s="386"/>
      <c r="E2" s="387" t="s">
        <v>39</v>
      </c>
      <c r="F2" s="388"/>
      <c r="G2" s="389" t="s">
        <v>89</v>
      </c>
      <c r="H2" s="390"/>
      <c r="I2" s="389" t="s">
        <v>90</v>
      </c>
      <c r="J2" s="390"/>
      <c r="K2" s="389" t="s">
        <v>25</v>
      </c>
      <c r="L2" s="390"/>
      <c r="M2" s="389" t="s">
        <v>91</v>
      </c>
      <c r="N2" s="390"/>
      <c r="O2" s="378" t="s">
        <v>92</v>
      </c>
      <c r="P2" s="379"/>
    </row>
    <row r="3" spans="1:37" x14ac:dyDescent="0.3">
      <c r="A3" s="82"/>
      <c r="B3" s="50" t="s">
        <v>93</v>
      </c>
      <c r="C3" s="380">
        <v>2.0000000000000002E-5</v>
      </c>
      <c r="D3" s="380"/>
      <c r="E3" s="381">
        <v>3.4999999999999999E-6</v>
      </c>
      <c r="F3" s="382"/>
      <c r="G3" s="383">
        <v>1.0000000000000001E-5</v>
      </c>
      <c r="H3" s="383"/>
      <c r="I3" s="383">
        <v>9.9999999999999995E-7</v>
      </c>
      <c r="J3" s="383"/>
      <c r="K3" s="381">
        <v>1.4999999999999999E-4</v>
      </c>
      <c r="L3" s="381"/>
      <c r="M3" s="383">
        <v>9.9999999999999995E-7</v>
      </c>
      <c r="N3" s="383"/>
      <c r="O3" s="384">
        <v>1.9999999999999999E-6</v>
      </c>
      <c r="P3" s="384"/>
    </row>
    <row r="4" spans="1:37" x14ac:dyDescent="0.3">
      <c r="A4" s="372" t="s">
        <v>94</v>
      </c>
      <c r="B4" s="160" t="s">
        <v>95</v>
      </c>
      <c r="C4" s="84">
        <v>0.2</v>
      </c>
      <c r="D4" s="85">
        <f>$C$3*C4</f>
        <v>4.0000000000000007E-6</v>
      </c>
      <c r="E4" s="86">
        <v>0.4</v>
      </c>
      <c r="F4" s="165">
        <f>E4*$E$3</f>
        <v>1.4000000000000001E-6</v>
      </c>
      <c r="G4" s="87"/>
      <c r="H4" s="88"/>
      <c r="I4" s="87"/>
      <c r="J4" s="88"/>
      <c r="K4" s="89">
        <v>0.15</v>
      </c>
      <c r="L4" s="90">
        <f>$K$3*K4</f>
        <v>2.2499999999999998E-5</v>
      </c>
      <c r="M4" s="87"/>
      <c r="N4" s="88"/>
      <c r="O4" s="151"/>
      <c r="P4" s="152"/>
      <c r="AG4" s="133"/>
      <c r="AJ4" s="133"/>
    </row>
    <row r="5" spans="1:37" x14ac:dyDescent="0.3">
      <c r="A5" s="373"/>
      <c r="B5" s="161" t="s">
        <v>96</v>
      </c>
      <c r="C5" s="89">
        <v>0.15</v>
      </c>
      <c r="D5" s="93">
        <f t="shared" ref="D5:D7" si="0">$C$3*C5</f>
        <v>3.0000000000000001E-6</v>
      </c>
      <c r="E5" s="94">
        <v>0.3</v>
      </c>
      <c r="F5" s="166">
        <f t="shared" ref="F5:F7" si="1">E5*$E$3</f>
        <v>1.0499999999999999E-6</v>
      </c>
      <c r="G5" s="87"/>
      <c r="H5" s="88"/>
      <c r="I5" s="87"/>
      <c r="J5" s="88"/>
      <c r="K5" s="89">
        <v>0.1</v>
      </c>
      <c r="L5" s="95">
        <f t="shared" ref="L5:L7" si="2">$K$3*K5</f>
        <v>1.4999999999999999E-5</v>
      </c>
      <c r="M5" s="87"/>
      <c r="N5" s="88"/>
      <c r="O5" s="151"/>
      <c r="P5" s="152"/>
      <c r="AD5" s="134"/>
      <c r="AJ5" s="133"/>
    </row>
    <row r="6" spans="1:37" x14ac:dyDescent="0.3">
      <c r="A6" s="373"/>
      <c r="B6" s="161" t="s">
        <v>273</v>
      </c>
      <c r="C6" s="89">
        <v>0.1</v>
      </c>
      <c r="D6" s="93">
        <f t="shared" si="0"/>
        <v>2.0000000000000003E-6</v>
      </c>
      <c r="E6" s="94">
        <v>0.2</v>
      </c>
      <c r="F6" s="166">
        <f t="shared" si="1"/>
        <v>7.0000000000000007E-7</v>
      </c>
      <c r="G6" s="87"/>
      <c r="H6" s="88"/>
      <c r="I6" s="87"/>
      <c r="J6" s="88"/>
      <c r="K6" s="89">
        <v>0.05</v>
      </c>
      <c r="L6" s="95">
        <f t="shared" si="2"/>
        <v>7.4999999999999993E-6</v>
      </c>
      <c r="M6" s="87"/>
      <c r="N6" s="88"/>
      <c r="O6" s="151"/>
      <c r="P6" s="152"/>
      <c r="AD6" s="135"/>
      <c r="AJ6" s="133"/>
    </row>
    <row r="7" spans="1:37" x14ac:dyDescent="0.3">
      <c r="A7" s="374"/>
      <c r="B7" s="162" t="s">
        <v>110</v>
      </c>
      <c r="C7" s="96">
        <v>0.05</v>
      </c>
      <c r="D7" s="97">
        <f t="shared" si="0"/>
        <v>1.0000000000000002E-6</v>
      </c>
      <c r="E7" s="98">
        <v>0.1</v>
      </c>
      <c r="F7" s="167">
        <f t="shared" si="1"/>
        <v>3.5000000000000004E-7</v>
      </c>
      <c r="G7" s="87"/>
      <c r="H7" s="88"/>
      <c r="I7" s="87"/>
      <c r="J7" s="88"/>
      <c r="K7" s="96">
        <v>0.03</v>
      </c>
      <c r="L7" s="99">
        <f t="shared" si="2"/>
        <v>4.4999999999999993E-6</v>
      </c>
      <c r="M7" s="87"/>
      <c r="N7" s="88"/>
      <c r="O7" s="151"/>
      <c r="P7" s="152"/>
      <c r="AD7" s="133"/>
    </row>
    <row r="8" spans="1:37" x14ac:dyDescent="0.3">
      <c r="A8" s="372" t="s">
        <v>99</v>
      </c>
      <c r="B8" s="163" t="s">
        <v>95</v>
      </c>
      <c r="C8" s="87"/>
      <c r="D8" s="102"/>
      <c r="E8" s="87"/>
      <c r="F8" s="88"/>
      <c r="G8" s="87"/>
      <c r="H8" s="88"/>
      <c r="I8" s="87"/>
      <c r="J8" s="88"/>
      <c r="K8" s="87" t="s">
        <v>100</v>
      </c>
      <c r="L8" s="88"/>
      <c r="M8" s="84">
        <v>0.15</v>
      </c>
      <c r="N8" s="274">
        <f>M8*$M$3</f>
        <v>1.4999999999999999E-7</v>
      </c>
      <c r="O8" s="149">
        <v>0.17</v>
      </c>
      <c r="P8" s="278">
        <f t="shared" ref="P8:P23" si="3">O8*$O$3</f>
        <v>3.4000000000000003E-7</v>
      </c>
    </row>
    <row r="9" spans="1:37" x14ac:dyDescent="0.3">
      <c r="A9" s="373"/>
      <c r="B9" s="164" t="s">
        <v>96</v>
      </c>
      <c r="C9" s="87"/>
      <c r="D9" s="102"/>
      <c r="E9" s="87"/>
      <c r="F9" s="88"/>
      <c r="G9" s="87"/>
      <c r="H9" s="88"/>
      <c r="I9" s="87"/>
      <c r="J9" s="88"/>
      <c r="K9" s="87"/>
      <c r="L9" s="88"/>
      <c r="M9" s="89">
        <v>0.1</v>
      </c>
      <c r="N9" s="275">
        <f>M9*$M$3</f>
        <v>9.9999999999999995E-8</v>
      </c>
      <c r="O9" s="148">
        <v>0.12</v>
      </c>
      <c r="P9" s="279">
        <f t="shared" si="3"/>
        <v>2.3999999999999998E-7</v>
      </c>
    </row>
    <row r="10" spans="1:37" x14ac:dyDescent="0.3">
      <c r="A10" s="373"/>
      <c r="B10" s="161" t="s">
        <v>273</v>
      </c>
      <c r="C10" s="87"/>
      <c r="D10" s="102"/>
      <c r="E10" s="87"/>
      <c r="F10" s="88"/>
      <c r="G10" s="87"/>
      <c r="H10" s="88"/>
      <c r="I10" s="87"/>
      <c r="J10" s="88"/>
      <c r="K10" s="87"/>
      <c r="L10" s="88"/>
      <c r="M10" s="89">
        <v>0.05</v>
      </c>
      <c r="N10" s="275">
        <f>M10*$M$3</f>
        <v>4.9999999999999998E-8</v>
      </c>
      <c r="O10" s="148">
        <v>7.0000000000000007E-2</v>
      </c>
      <c r="P10" s="279">
        <f t="shared" si="3"/>
        <v>1.4000000000000001E-7</v>
      </c>
    </row>
    <row r="11" spans="1:37" x14ac:dyDescent="0.3">
      <c r="A11" s="374"/>
      <c r="B11" s="162" t="s">
        <v>110</v>
      </c>
      <c r="C11" s="87"/>
      <c r="D11" s="102"/>
      <c r="E11" s="87"/>
      <c r="F11" s="88"/>
      <c r="G11" s="87"/>
      <c r="H11" s="88"/>
      <c r="I11" s="87"/>
      <c r="J11" s="88"/>
      <c r="K11" s="87"/>
      <c r="L11" s="88"/>
      <c r="M11" s="96">
        <v>0.04</v>
      </c>
      <c r="N11" s="276">
        <f>M11*$M$3</f>
        <v>4.0000000000000001E-8</v>
      </c>
      <c r="O11" s="150">
        <v>0.05</v>
      </c>
      <c r="P11" s="280">
        <f t="shared" si="3"/>
        <v>9.9999999999999995E-8</v>
      </c>
    </row>
    <row r="12" spans="1:37" x14ac:dyDescent="0.3">
      <c r="A12" s="372" t="s">
        <v>23</v>
      </c>
      <c r="B12" s="164" t="s">
        <v>95</v>
      </c>
      <c r="C12" s="87"/>
      <c r="D12" s="102"/>
      <c r="E12" s="87"/>
      <c r="F12" s="88"/>
      <c r="G12" s="84">
        <v>0.4</v>
      </c>
      <c r="H12" s="101">
        <f>$G$3*G12</f>
        <v>4.0000000000000007E-6</v>
      </c>
      <c r="I12" s="79">
        <v>0.4</v>
      </c>
      <c r="J12" s="168">
        <f>I12*$I$3</f>
        <v>3.9999999999999998E-7</v>
      </c>
      <c r="K12" s="79">
        <v>0.15</v>
      </c>
      <c r="L12" s="90">
        <f>$K$3*K12</f>
        <v>2.2499999999999998E-5</v>
      </c>
      <c r="M12" s="87"/>
      <c r="N12" s="277"/>
      <c r="O12" s="151"/>
      <c r="P12" s="284"/>
    </row>
    <row r="13" spans="1:37" x14ac:dyDescent="0.3">
      <c r="A13" s="373"/>
      <c r="B13" s="164" t="s">
        <v>96</v>
      </c>
      <c r="C13" s="87"/>
      <c r="D13" s="102"/>
      <c r="E13" s="87"/>
      <c r="F13" s="88"/>
      <c r="G13" s="89">
        <v>0.3</v>
      </c>
      <c r="H13" s="103">
        <f t="shared" ref="H13:H15" si="4">$G$3*G13</f>
        <v>3.0000000000000001E-6</v>
      </c>
      <c r="I13" s="104">
        <v>0.3</v>
      </c>
      <c r="J13" s="169">
        <f>I13*$I$3</f>
        <v>2.9999999999999999E-7</v>
      </c>
      <c r="K13" s="104">
        <v>0.1</v>
      </c>
      <c r="L13" s="95">
        <f t="shared" ref="L13:L19" si="5">$K$3*K13</f>
        <v>1.4999999999999999E-5</v>
      </c>
      <c r="M13" s="87"/>
      <c r="N13" s="277"/>
      <c r="O13" s="151"/>
      <c r="P13" s="285"/>
      <c r="T13" s="105"/>
      <c r="U13" s="106"/>
    </row>
    <row r="14" spans="1:37" ht="15.6" x14ac:dyDescent="0.3">
      <c r="A14" s="373"/>
      <c r="B14" s="161" t="s">
        <v>273</v>
      </c>
      <c r="C14" s="87"/>
      <c r="D14" s="102"/>
      <c r="E14" s="87"/>
      <c r="F14" s="88"/>
      <c r="G14" s="89">
        <v>0.2</v>
      </c>
      <c r="H14" s="103">
        <f>$G$3*G14</f>
        <v>2.0000000000000003E-6</v>
      </c>
      <c r="I14" s="104">
        <v>0.2</v>
      </c>
      <c r="J14" s="169">
        <f t="shared" ref="J14:J15" si="6">I14*$I$3</f>
        <v>1.9999999999999999E-7</v>
      </c>
      <c r="K14" s="104">
        <v>0.05</v>
      </c>
      <c r="L14" s="95">
        <f>$K$3*K14</f>
        <v>7.4999999999999993E-6</v>
      </c>
      <c r="M14" s="87"/>
      <c r="N14" s="277"/>
      <c r="O14" s="151"/>
      <c r="P14" s="285"/>
      <c r="T14" s="105"/>
      <c r="U14" s="105"/>
      <c r="AK14" s="136"/>
    </row>
    <row r="15" spans="1:37" x14ac:dyDescent="0.3">
      <c r="A15" s="374"/>
      <c r="B15" s="162" t="s">
        <v>110</v>
      </c>
      <c r="C15" s="87"/>
      <c r="D15" s="102"/>
      <c r="E15" s="87"/>
      <c r="F15" s="88"/>
      <c r="G15" s="96">
        <v>0.1</v>
      </c>
      <c r="H15" s="107">
        <f t="shared" si="4"/>
        <v>1.0000000000000002E-6</v>
      </c>
      <c r="I15" s="108">
        <v>0.1</v>
      </c>
      <c r="J15" s="170">
        <f t="shared" si="6"/>
        <v>9.9999999999999995E-8</v>
      </c>
      <c r="K15" s="108">
        <v>0.04</v>
      </c>
      <c r="L15" s="95">
        <f t="shared" si="5"/>
        <v>5.9999999999999993E-6</v>
      </c>
      <c r="M15" s="87"/>
      <c r="N15" s="277"/>
      <c r="O15" s="151"/>
      <c r="P15" s="285"/>
      <c r="T15" s="109"/>
      <c r="U15" s="109"/>
    </row>
    <row r="16" spans="1:37" ht="18" x14ac:dyDescent="0.3">
      <c r="A16" s="372" t="s">
        <v>12</v>
      </c>
      <c r="B16" s="163" t="s">
        <v>95</v>
      </c>
      <c r="C16" s="86">
        <v>0.2</v>
      </c>
      <c r="D16" s="85">
        <f>$C$3*C16</f>
        <v>4.0000000000000007E-6</v>
      </c>
      <c r="E16" s="87"/>
      <c r="F16" s="88"/>
      <c r="G16" s="110"/>
      <c r="H16" s="110"/>
      <c r="I16" s="111"/>
      <c r="J16" s="110"/>
      <c r="K16" s="86">
        <v>0.15</v>
      </c>
      <c r="L16" s="90">
        <f>$K$3*K16</f>
        <v>2.2499999999999998E-5</v>
      </c>
      <c r="M16" s="112">
        <v>0.15</v>
      </c>
      <c r="N16" s="274">
        <f>M16*$M$3</f>
        <v>1.4999999999999999E-7</v>
      </c>
      <c r="O16" s="151"/>
      <c r="P16" s="285"/>
      <c r="T16" s="109"/>
      <c r="U16" s="106"/>
      <c r="AH16" s="141"/>
      <c r="AI16" s="141"/>
      <c r="AJ16" s="137"/>
      <c r="AK16" s="137"/>
    </row>
    <row r="17" spans="1:37" ht="18" x14ac:dyDescent="0.3">
      <c r="A17" s="373"/>
      <c r="B17" s="164" t="s">
        <v>96</v>
      </c>
      <c r="C17" s="94">
        <v>0.15</v>
      </c>
      <c r="D17" s="93">
        <f>$C$3*C17</f>
        <v>3.0000000000000001E-6</v>
      </c>
      <c r="E17" s="87"/>
      <c r="F17" s="88"/>
      <c r="G17" s="110"/>
      <c r="H17" s="110"/>
      <c r="I17" s="110"/>
      <c r="J17" s="110"/>
      <c r="K17" s="94">
        <v>0.1</v>
      </c>
      <c r="L17" s="95">
        <f>$K$3*K17</f>
        <v>1.4999999999999999E-5</v>
      </c>
      <c r="M17" s="113">
        <v>0.1</v>
      </c>
      <c r="N17" s="275">
        <f>M17*$M$3</f>
        <v>9.9999999999999995E-8</v>
      </c>
      <c r="O17" s="151"/>
      <c r="P17" s="285"/>
      <c r="T17" s="105"/>
      <c r="U17" s="105"/>
      <c r="AH17" s="138"/>
      <c r="AI17" s="138"/>
      <c r="AJ17" s="137"/>
    </row>
    <row r="18" spans="1:37" ht="18" x14ac:dyDescent="0.3">
      <c r="A18" s="373"/>
      <c r="B18" s="161" t="s">
        <v>273</v>
      </c>
      <c r="C18" s="94">
        <v>0.1</v>
      </c>
      <c r="D18" s="93">
        <f t="shared" ref="D18:D19" si="7">$C$3*C18</f>
        <v>2.0000000000000003E-6</v>
      </c>
      <c r="E18" s="87"/>
      <c r="F18" s="88"/>
      <c r="G18" s="110"/>
      <c r="H18" s="110"/>
      <c r="I18" s="110"/>
      <c r="J18" s="110"/>
      <c r="K18" s="94">
        <v>0.05</v>
      </c>
      <c r="L18" s="95">
        <f t="shared" si="5"/>
        <v>7.4999999999999993E-6</v>
      </c>
      <c r="M18" s="113">
        <v>0.05</v>
      </c>
      <c r="N18" s="275">
        <f t="shared" ref="N18:N19" si="8">M18*$M$3</f>
        <v>4.9999999999999998E-8</v>
      </c>
      <c r="O18" s="151"/>
      <c r="P18" s="285"/>
      <c r="T18" s="105"/>
      <c r="U18" s="106"/>
      <c r="AH18" s="138"/>
      <c r="AI18" s="138"/>
      <c r="AJ18" s="137"/>
    </row>
    <row r="19" spans="1:37" ht="18" x14ac:dyDescent="0.3">
      <c r="A19" s="374"/>
      <c r="B19" s="162" t="s">
        <v>110</v>
      </c>
      <c r="C19" s="98">
        <v>0.05</v>
      </c>
      <c r="D19" s="97">
        <f t="shared" si="7"/>
        <v>1.0000000000000002E-6</v>
      </c>
      <c r="E19" s="87"/>
      <c r="F19" s="88"/>
      <c r="G19" s="110"/>
      <c r="H19" s="110"/>
      <c r="I19" s="110"/>
      <c r="J19" s="110"/>
      <c r="K19" s="98">
        <v>0.03</v>
      </c>
      <c r="L19" s="99">
        <f t="shared" si="5"/>
        <v>4.4999999999999993E-6</v>
      </c>
      <c r="M19" s="114">
        <v>0.03</v>
      </c>
      <c r="N19" s="275">
        <f t="shared" si="8"/>
        <v>2.9999999999999997E-8</v>
      </c>
      <c r="O19" s="151"/>
      <c r="P19" s="286"/>
      <c r="T19" s="105"/>
      <c r="U19" s="105"/>
      <c r="AH19" s="138"/>
      <c r="AI19" s="138"/>
      <c r="AJ19" s="137"/>
    </row>
    <row r="20" spans="1:37" s="125" customFormat="1" ht="18" x14ac:dyDescent="0.3">
      <c r="A20" s="375" t="s">
        <v>101</v>
      </c>
      <c r="B20" s="155" t="s">
        <v>95</v>
      </c>
      <c r="C20" s="151"/>
      <c r="D20" s="155"/>
      <c r="E20" s="151"/>
      <c r="F20" s="155"/>
      <c r="G20" s="156"/>
      <c r="H20" s="156"/>
      <c r="I20" s="156"/>
      <c r="J20" s="156"/>
      <c r="K20" s="156"/>
      <c r="L20" s="156"/>
      <c r="M20" s="157">
        <v>0.15</v>
      </c>
      <c r="N20" s="274">
        <f>M20*$M$3</f>
        <v>1.4999999999999999E-7</v>
      </c>
      <c r="O20" s="149">
        <v>0.23</v>
      </c>
      <c r="P20" s="278">
        <f t="shared" si="3"/>
        <v>4.5999999999999999E-7</v>
      </c>
      <c r="T20" s="126"/>
      <c r="U20" s="126"/>
      <c r="AH20" s="127"/>
      <c r="AI20" s="127"/>
      <c r="AJ20" s="127"/>
      <c r="AK20" s="128"/>
    </row>
    <row r="21" spans="1:37" s="125" customFormat="1" ht="18" x14ac:dyDescent="0.3">
      <c r="A21" s="376"/>
      <c r="B21" s="155" t="s">
        <v>96</v>
      </c>
      <c r="C21" s="151"/>
      <c r="D21" s="155"/>
      <c r="E21" s="151"/>
      <c r="F21" s="155"/>
      <c r="G21" s="156"/>
      <c r="H21" s="156"/>
      <c r="I21" s="156"/>
      <c r="J21" s="156"/>
      <c r="K21" s="156"/>
      <c r="L21" s="156"/>
      <c r="M21" s="158">
        <v>0.1</v>
      </c>
      <c r="N21" s="275">
        <f>M21*$M$3</f>
        <v>9.9999999999999995E-8</v>
      </c>
      <c r="O21" s="148">
        <v>0.17</v>
      </c>
      <c r="P21" s="279">
        <f t="shared" si="3"/>
        <v>3.4000000000000003E-7</v>
      </c>
      <c r="AH21" s="127"/>
      <c r="AI21" s="127"/>
      <c r="AJ21" s="127"/>
      <c r="AK21" s="128"/>
    </row>
    <row r="22" spans="1:37" s="125" customFormat="1" ht="18" x14ac:dyDescent="0.3">
      <c r="A22" s="376"/>
      <c r="B22" s="161" t="s">
        <v>273</v>
      </c>
      <c r="C22" s="151"/>
      <c r="D22" s="155"/>
      <c r="E22" s="151"/>
      <c r="F22" s="155"/>
      <c r="G22" s="156"/>
      <c r="H22" s="156"/>
      <c r="I22" s="156"/>
      <c r="J22" s="156"/>
      <c r="K22" s="156"/>
      <c r="L22" s="156"/>
      <c r="M22" s="158">
        <v>0.05</v>
      </c>
      <c r="N22" s="275">
        <f t="shared" ref="N22:N23" si="9">M22*$M$3</f>
        <v>4.9999999999999998E-8</v>
      </c>
      <c r="O22" s="148">
        <v>0.12</v>
      </c>
      <c r="P22" s="279">
        <f t="shared" si="3"/>
        <v>2.3999999999999998E-7</v>
      </c>
      <c r="AH22" s="127"/>
      <c r="AI22" s="127"/>
      <c r="AJ22" s="127"/>
      <c r="AK22" s="128"/>
    </row>
    <row r="23" spans="1:37" s="125" customFormat="1" ht="18" x14ac:dyDescent="0.3">
      <c r="A23" s="377"/>
      <c r="B23" s="162" t="s">
        <v>110</v>
      </c>
      <c r="C23" s="153"/>
      <c r="D23" s="282"/>
      <c r="E23" s="153"/>
      <c r="F23" s="282"/>
      <c r="G23" s="283"/>
      <c r="H23" s="283"/>
      <c r="I23" s="283"/>
      <c r="J23" s="283"/>
      <c r="K23" s="283"/>
      <c r="L23" s="156"/>
      <c r="M23" s="159">
        <v>0.03</v>
      </c>
      <c r="N23" s="276">
        <f t="shared" si="9"/>
        <v>2.9999999999999997E-8</v>
      </c>
      <c r="O23" s="150">
        <v>7.0000000000000007E-2</v>
      </c>
      <c r="P23" s="280">
        <f t="shared" si="3"/>
        <v>1.4000000000000001E-7</v>
      </c>
      <c r="AF23" s="129"/>
      <c r="AH23" s="127"/>
      <c r="AI23" s="127"/>
      <c r="AJ23" s="127"/>
      <c r="AK23" s="128"/>
    </row>
    <row r="24" spans="1:37" s="125" customFormat="1" ht="18" x14ac:dyDescent="0.3">
      <c r="A24" s="369" t="s">
        <v>102</v>
      </c>
      <c r="B24" s="115" t="s">
        <v>95</v>
      </c>
      <c r="C24" s="91"/>
      <c r="D24" s="115"/>
      <c r="E24" s="91"/>
      <c r="F24" s="115"/>
      <c r="G24" s="116"/>
      <c r="H24" s="116"/>
      <c r="I24" s="116"/>
      <c r="J24" s="116"/>
      <c r="K24" s="117">
        <v>0.05</v>
      </c>
      <c r="L24" s="119">
        <f>$K$3*K24</f>
        <v>7.4999999999999993E-6</v>
      </c>
      <c r="M24" s="91"/>
      <c r="N24" s="115"/>
      <c r="O24" s="151"/>
      <c r="P24" s="152"/>
      <c r="AH24" s="127"/>
      <c r="AI24" s="127"/>
      <c r="AJ24" s="127"/>
      <c r="AK24" s="128"/>
    </row>
    <row r="25" spans="1:37" s="125" customFormat="1" ht="18" x14ac:dyDescent="0.3">
      <c r="A25" s="370"/>
      <c r="B25" s="115" t="s">
        <v>96</v>
      </c>
      <c r="C25" s="91"/>
      <c r="D25" s="115"/>
      <c r="E25" s="91"/>
      <c r="F25" s="115"/>
      <c r="G25" s="116"/>
      <c r="H25" s="116"/>
      <c r="I25" s="116"/>
      <c r="J25" s="116"/>
      <c r="K25" s="117">
        <v>0.05</v>
      </c>
      <c r="L25" s="120">
        <f t="shared" ref="L25:L27" si="10">$K$3*K25</f>
        <v>7.4999999999999993E-6</v>
      </c>
      <c r="M25" s="91"/>
      <c r="N25" s="115"/>
      <c r="O25" s="151"/>
      <c r="P25" s="152"/>
      <c r="AH25" s="127"/>
      <c r="AI25" s="127"/>
      <c r="AJ25" s="127"/>
      <c r="AK25" s="128"/>
    </row>
    <row r="26" spans="1:37" s="125" customFormat="1" ht="18" x14ac:dyDescent="0.3">
      <c r="A26" s="370"/>
      <c r="B26" s="115" t="s">
        <v>97</v>
      </c>
      <c r="C26" s="91"/>
      <c r="D26" s="115"/>
      <c r="E26" s="91"/>
      <c r="F26" s="115"/>
      <c r="G26" s="116"/>
      <c r="H26" s="116"/>
      <c r="I26" s="116"/>
      <c r="J26" s="116"/>
      <c r="K26" s="117">
        <v>0.05</v>
      </c>
      <c r="L26" s="120">
        <f t="shared" si="10"/>
        <v>7.4999999999999993E-6</v>
      </c>
      <c r="M26" s="91"/>
      <c r="N26" s="115"/>
      <c r="O26" s="151"/>
      <c r="P26" s="152"/>
      <c r="AH26" s="127"/>
      <c r="AI26" s="127"/>
      <c r="AJ26" s="130"/>
    </row>
    <row r="27" spans="1:37" s="125" customFormat="1" x14ac:dyDescent="0.3">
      <c r="A27" s="371"/>
      <c r="B27" s="121" t="s">
        <v>98</v>
      </c>
      <c r="C27" s="100"/>
      <c r="D27" s="121"/>
      <c r="E27" s="100"/>
      <c r="F27" s="121"/>
      <c r="G27" s="122"/>
      <c r="H27" s="122"/>
      <c r="I27" s="122"/>
      <c r="J27" s="122"/>
      <c r="K27" s="118">
        <v>0.05</v>
      </c>
      <c r="L27" s="123">
        <f t="shared" si="10"/>
        <v>7.4999999999999993E-6</v>
      </c>
      <c r="M27" s="100"/>
      <c r="N27" s="121"/>
      <c r="O27" s="153"/>
      <c r="P27" s="154"/>
      <c r="AH27" s="128"/>
      <c r="AI27" s="128"/>
    </row>
    <row r="28" spans="1:37" x14ac:dyDescent="0.3"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I28" s="139"/>
    </row>
    <row r="29" spans="1:37" ht="15.6" x14ac:dyDescent="0.3">
      <c r="C29" s="124">
        <f>SUM(C4:C19)</f>
        <v>1</v>
      </c>
      <c r="D29" s="124"/>
      <c r="E29" s="124">
        <f t="shared" ref="E29:I29" si="11">SUM(E4:E19)</f>
        <v>0.99999999999999989</v>
      </c>
      <c r="F29" s="124"/>
      <c r="G29" s="124">
        <f t="shared" si="11"/>
        <v>0.99999999999999989</v>
      </c>
      <c r="H29" s="124"/>
      <c r="I29" s="124">
        <f t="shared" si="11"/>
        <v>0.99999999999999989</v>
      </c>
      <c r="J29" s="124"/>
      <c r="K29" s="124">
        <f>SUM(K4:K19)</f>
        <v>1</v>
      </c>
      <c r="L29" s="124"/>
      <c r="M29" s="124">
        <f>SUM(M4:M23)</f>
        <v>1</v>
      </c>
      <c r="N29" s="124"/>
      <c r="O29" s="124">
        <f t="shared" ref="O29" si="12">SUM(O4:O23)</f>
        <v>1</v>
      </c>
      <c r="R29" s="142"/>
      <c r="S29" s="69"/>
      <c r="T29" s="143"/>
      <c r="U29" s="144"/>
      <c r="V29" s="144"/>
      <c r="W29" s="144"/>
      <c r="X29" s="144"/>
      <c r="Y29" s="144"/>
      <c r="Z29" s="142"/>
      <c r="AA29" s="142"/>
      <c r="AI29" s="139"/>
    </row>
    <row r="30" spans="1:37" x14ac:dyDescent="0.3">
      <c r="R30" s="142"/>
      <c r="S30" s="69"/>
      <c r="T30" s="145"/>
      <c r="U30" s="146"/>
      <c r="V30" s="146"/>
      <c r="W30" s="146"/>
      <c r="X30" s="146"/>
      <c r="Y30" s="146"/>
      <c r="Z30" s="142"/>
      <c r="AA30" s="142"/>
    </row>
    <row r="31" spans="1:37" x14ac:dyDescent="0.3">
      <c r="R31" s="142"/>
      <c r="S31" s="147"/>
      <c r="T31" s="146"/>
      <c r="U31" s="71"/>
      <c r="V31" s="71"/>
      <c r="W31" s="71"/>
      <c r="X31" s="71"/>
      <c r="Y31" s="71"/>
      <c r="Z31" s="142"/>
      <c r="AA31" s="142"/>
    </row>
    <row r="32" spans="1:37" x14ac:dyDescent="0.3">
      <c r="R32" s="142"/>
      <c r="S32" s="147"/>
      <c r="T32" s="146"/>
      <c r="U32" s="71"/>
      <c r="V32" s="71"/>
      <c r="W32" s="71"/>
      <c r="X32" s="71"/>
      <c r="Y32" s="71"/>
      <c r="Z32" s="142"/>
      <c r="AA32" s="142"/>
    </row>
    <row r="33" spans="18:28" x14ac:dyDescent="0.3">
      <c r="R33" s="142"/>
      <c r="S33" s="147"/>
      <c r="T33" s="146"/>
      <c r="U33" s="71"/>
      <c r="V33" s="71"/>
      <c r="W33" s="71"/>
      <c r="X33" s="71"/>
      <c r="Y33" s="71"/>
      <c r="Z33" s="142"/>
      <c r="AA33" s="142"/>
    </row>
    <row r="34" spans="18:28" x14ac:dyDescent="0.3">
      <c r="R34" s="142"/>
      <c r="S34" s="147"/>
      <c r="T34" s="146"/>
      <c r="U34" s="71"/>
      <c r="V34" s="71"/>
      <c r="W34" s="71"/>
      <c r="X34" s="71"/>
      <c r="Y34" s="71"/>
      <c r="Z34" s="142"/>
      <c r="AA34" s="142"/>
    </row>
    <row r="35" spans="18:28" x14ac:dyDescent="0.3">
      <c r="R35" s="142"/>
      <c r="S35" s="147"/>
      <c r="T35" s="146"/>
      <c r="U35" s="71"/>
      <c r="V35" s="71"/>
      <c r="W35" s="71"/>
      <c r="X35" s="71"/>
      <c r="Y35" s="71"/>
      <c r="Z35" s="142"/>
      <c r="AA35" s="142"/>
    </row>
    <row r="36" spans="18:28" x14ac:dyDescent="0.3">
      <c r="R36" s="142"/>
      <c r="S36" s="142"/>
      <c r="T36" s="142"/>
      <c r="U36" s="142"/>
      <c r="V36" s="142"/>
      <c r="W36" s="142"/>
      <c r="X36" s="142"/>
      <c r="Y36" s="142"/>
      <c r="Z36" s="142"/>
      <c r="AA36" s="142"/>
    </row>
    <row r="37" spans="18:28" x14ac:dyDescent="0.3">
      <c r="R37" s="142"/>
      <c r="S37" s="142"/>
      <c r="T37" s="142"/>
      <c r="U37" s="142"/>
      <c r="V37" s="142"/>
      <c r="W37" s="142"/>
      <c r="X37" s="142"/>
      <c r="Y37" s="142"/>
      <c r="Z37" s="142"/>
      <c r="AA37" s="142"/>
    </row>
    <row r="44" spans="18:28" x14ac:dyDescent="0.3">
      <c r="AA44" s="140"/>
      <c r="AB44" s="140"/>
    </row>
  </sheetData>
  <mergeCells count="20">
    <mergeCell ref="O2:P2"/>
    <mergeCell ref="C3:D3"/>
    <mergeCell ref="E3:F3"/>
    <mergeCell ref="G3:H3"/>
    <mergeCell ref="I3:J3"/>
    <mergeCell ref="K3:L3"/>
    <mergeCell ref="M3:N3"/>
    <mergeCell ref="O3:P3"/>
    <mergeCell ref="C2:D2"/>
    <mergeCell ref="E2:F2"/>
    <mergeCell ref="G2:H2"/>
    <mergeCell ref="I2:J2"/>
    <mergeCell ref="K2:L2"/>
    <mergeCell ref="M2:N2"/>
    <mergeCell ref="A24:A27"/>
    <mergeCell ref="A4:A7"/>
    <mergeCell ref="A8:A11"/>
    <mergeCell ref="A12:A15"/>
    <mergeCell ref="A16:A19"/>
    <mergeCell ref="A20:A23"/>
  </mergeCells>
  <conditionalFormatting sqref="C4:C7 C16:C19">
    <cfRule type="expression" dxfId="68" priority="34">
      <formula>SUM($C$4:$C$19)=100%</formula>
    </cfRule>
  </conditionalFormatting>
  <conditionalFormatting sqref="C8">
    <cfRule type="expression" dxfId="67" priority="33">
      <formula>SUM($C$8:$C$11)=100</formula>
    </cfRule>
  </conditionalFormatting>
  <conditionalFormatting sqref="C12:C15">
    <cfRule type="expression" dxfId="66" priority="32">
      <formula>SUM($C$12:$C$15)=100</formula>
    </cfRule>
  </conditionalFormatting>
  <conditionalFormatting sqref="C16:C19">
    <cfRule type="expression" dxfId="65" priority="29">
      <formula>SUM($C$16:$C$19)=100%</formula>
    </cfRule>
    <cfRule type="expression" dxfId="64" priority="31">
      <formula>SUM($C$16:$C$19)=100</formula>
    </cfRule>
  </conditionalFormatting>
  <conditionalFormatting sqref="E4:E7">
    <cfRule type="expression" dxfId="63" priority="30">
      <formula>SUM($E$4:$E$7)=100%</formula>
    </cfRule>
  </conditionalFormatting>
  <conditionalFormatting sqref="G12:G15">
    <cfRule type="expression" dxfId="62" priority="28">
      <formula>SUM($G$12:$G$15)=100%</formula>
    </cfRule>
  </conditionalFormatting>
  <conditionalFormatting sqref="I12:I15">
    <cfRule type="expression" dxfId="61" priority="27">
      <formula>SUM($I$12:$I$15)=100%</formula>
    </cfRule>
  </conditionalFormatting>
  <conditionalFormatting sqref="K4:K7 K12:K19">
    <cfRule type="expression" dxfId="60" priority="26">
      <formula>SUM($K$4:$K$19)=100%</formula>
    </cfRule>
  </conditionalFormatting>
  <conditionalFormatting sqref="K12:K15">
    <cfRule type="expression" dxfId="59" priority="25">
      <formula>SUM($K$12:$K$15)=100%</formula>
    </cfRule>
  </conditionalFormatting>
  <conditionalFormatting sqref="K16:K19">
    <cfRule type="expression" dxfId="58" priority="24">
      <formula>SUM($K$16:$K$19)=100%</formula>
    </cfRule>
  </conditionalFormatting>
  <conditionalFormatting sqref="M16:M19">
    <cfRule type="expression" dxfId="57" priority="23">
      <formula>SUM($M$16:$M$19)=100%</formula>
    </cfRule>
  </conditionalFormatting>
  <conditionalFormatting sqref="M8:M11 M16:M19 M20:M23">
    <cfRule type="expression" dxfId="56" priority="22">
      <formula>SUM($M$8:$M$23)=100%</formula>
    </cfRule>
  </conditionalFormatting>
  <conditionalFormatting sqref="O8:O11 O20:O23">
    <cfRule type="expression" dxfId="55" priority="21">
      <formula>SUM($O$8:$O$23)=100%</formula>
    </cfRule>
  </conditionalFormatting>
  <conditionalFormatting sqref="M20:M23">
    <cfRule type="expression" dxfId="54" priority="20">
      <formula>SUM($M$20:$M$23)=100%</formula>
    </cfRule>
  </conditionalFormatting>
  <conditionalFormatting sqref="O20:O23">
    <cfRule type="expression" dxfId="53" priority="19">
      <formula>SUM($O$20:$O$23)=100%</formula>
    </cfRule>
  </conditionalFormatting>
  <conditionalFormatting sqref="K24:K27">
    <cfRule type="expression" dxfId="52" priority="18">
      <formula>SUM($K$24:$K$27)=100%</formula>
    </cfRule>
  </conditionalFormatting>
  <conditionalFormatting sqref="U31:Y35">
    <cfRule type="containsText" dxfId="51" priority="13" operator="containsText" text="LossMech">
      <formula>NOT(ISERROR(SEARCH("LossMech",U31)))</formula>
    </cfRule>
    <cfRule type="containsText" dxfId="50" priority="14" operator="containsText" text="HazardMech">
      <formula>NOT(ISERROR(SEARCH("HazardMech",U31)))</formula>
    </cfRule>
    <cfRule type="containsText" dxfId="49" priority="15" operator="containsText" text="MajorMech">
      <formula>NOT(ISERROR(SEARCH("MajorMech",U31)))</formula>
    </cfRule>
    <cfRule type="containsText" dxfId="48" priority="16" operator="containsText" text="MinorMech">
      <formula>NOT(ISERROR(SEARCH("MinorMech",U31)))</formula>
    </cfRule>
    <cfRule type="containsText" dxfId="47" priority="17" operator="containsText" text="Working">
      <formula>NOT(ISERROR(SEARCH("Working",U31)))</formula>
    </cfRule>
  </conditionalFormatting>
  <conditionalFormatting sqref="E2">
    <cfRule type="expression" dxfId="46" priority="10">
      <formula>SUM($E$4:$E$7)=100%</formula>
    </cfRule>
  </conditionalFormatting>
  <conditionalFormatting sqref="G2">
    <cfRule type="expression" dxfId="45" priority="9">
      <formula>SUM($G$12:$G$15)=100%</formula>
    </cfRule>
  </conditionalFormatting>
  <conditionalFormatting sqref="I2">
    <cfRule type="expression" dxfId="44" priority="8">
      <formula>SUM($I$12:$I$15)=100%</formula>
    </cfRule>
  </conditionalFormatting>
  <conditionalFormatting sqref="K2">
    <cfRule type="expression" dxfId="43" priority="7">
      <formula>SUM($K$4:$K$19)=100%</formula>
    </cfRule>
  </conditionalFormatting>
  <conditionalFormatting sqref="K2">
    <cfRule type="expression" dxfId="42" priority="6">
      <formula>SUM($K$12:$K$15)=100%</formula>
    </cfRule>
  </conditionalFormatting>
  <conditionalFormatting sqref="O2">
    <cfRule type="expression" dxfId="41" priority="5">
      <formula>SUM($O$8:$O$23)=100%</formula>
    </cfRule>
  </conditionalFormatting>
  <conditionalFormatting sqref="O2">
    <cfRule type="expression" dxfId="40" priority="4">
      <formula>SUM($O$20:$O$23)=100%</formula>
    </cfRule>
  </conditionalFormatting>
  <conditionalFormatting sqref="M2">
    <cfRule type="expression" dxfId="39" priority="3">
      <formula>SUM($M$8:$M$23)=100%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98CE-6644-4D84-9BB8-B84429F7D069}">
  <sheetPr codeName="Sheet1"/>
  <dimension ref="A1:AK55"/>
  <sheetViews>
    <sheetView topLeftCell="E18" zoomScale="54" zoomScaleNormal="62" workbookViewId="0">
      <selection activeCell="D62" sqref="D62"/>
    </sheetView>
  </sheetViews>
  <sheetFormatPr defaultRowHeight="14.4" x14ac:dyDescent="0.3"/>
  <cols>
    <col min="1" max="1" width="12.5546875" style="26" customWidth="1"/>
    <col min="2" max="2" width="12.21875" style="26" customWidth="1"/>
    <col min="3" max="3" width="17.88671875" style="26" customWidth="1"/>
    <col min="4" max="4" width="51.88671875" style="26" bestFit="1" customWidth="1"/>
    <col min="5" max="5" width="48.6640625" style="26" bestFit="1" customWidth="1"/>
    <col min="6" max="6" width="11.44140625" style="26" customWidth="1"/>
    <col min="7" max="10" width="8.88671875" style="26"/>
    <col min="11" max="11" width="46.88671875" style="26" bestFit="1" customWidth="1"/>
    <col min="12" max="12" width="14" style="26" bestFit="1" customWidth="1"/>
    <col min="13" max="13" width="7.6640625" style="26" bestFit="1" customWidth="1"/>
    <col min="14" max="14" width="42.88671875" style="26" bestFit="1" customWidth="1"/>
    <col min="15" max="15" width="11.21875" style="26" bestFit="1" customWidth="1"/>
    <col min="16" max="16" width="7.6640625" style="26" bestFit="1" customWidth="1"/>
    <col min="17" max="17" width="37.77734375" style="26" bestFit="1" customWidth="1"/>
    <col min="18" max="18" width="9.88671875" style="26" bestFit="1" customWidth="1"/>
    <col min="19" max="16384" width="8.88671875" style="26"/>
  </cols>
  <sheetData>
    <row r="1" spans="1:37" ht="17.399999999999999" customHeight="1" thickBot="1" x14ac:dyDescent="0.35">
      <c r="A1" s="412" t="s">
        <v>116</v>
      </c>
      <c r="B1" s="395" t="s">
        <v>117</v>
      </c>
      <c r="C1" s="395"/>
      <c r="D1" s="415"/>
      <c r="E1" s="183" t="s">
        <v>118</v>
      </c>
      <c r="F1" s="184" t="s">
        <v>119</v>
      </c>
      <c r="G1" s="185"/>
      <c r="H1" s="185"/>
      <c r="I1" s="185"/>
      <c r="J1" s="185"/>
      <c r="K1" s="186"/>
    </row>
    <row r="2" spans="1:37" ht="18.600000000000001" customHeight="1" thickBot="1" x14ac:dyDescent="0.35">
      <c r="A2" s="413"/>
      <c r="B2" s="396"/>
      <c r="C2" s="396"/>
      <c r="D2" s="416"/>
      <c r="E2" s="183" t="s">
        <v>120</v>
      </c>
      <c r="F2" s="184" t="s">
        <v>121</v>
      </c>
      <c r="G2" s="185"/>
      <c r="H2" s="185"/>
      <c r="I2" s="185"/>
      <c r="J2" s="185"/>
      <c r="K2" s="186"/>
    </row>
    <row r="3" spans="1:37" ht="18" customHeight="1" thickBot="1" x14ac:dyDescent="0.35">
      <c r="A3" s="413"/>
      <c r="B3" s="396"/>
      <c r="C3" s="396"/>
      <c r="D3" s="416"/>
      <c r="E3" s="183" t="s">
        <v>122</v>
      </c>
      <c r="F3" s="184" t="s">
        <v>123</v>
      </c>
      <c r="G3" s="185"/>
      <c r="H3" s="185"/>
      <c r="I3" s="185"/>
      <c r="J3" s="185"/>
      <c r="K3" s="186"/>
    </row>
    <row r="4" spans="1:37" ht="18" customHeight="1" thickBot="1" x14ac:dyDescent="0.35">
      <c r="A4" s="414"/>
      <c r="B4" s="417"/>
      <c r="C4" s="417"/>
      <c r="D4" s="418"/>
      <c r="E4" s="183" t="s">
        <v>124</v>
      </c>
      <c r="F4" s="184" t="s">
        <v>125</v>
      </c>
      <c r="G4" s="185"/>
      <c r="H4" s="185"/>
      <c r="I4" s="185"/>
      <c r="J4" s="185"/>
      <c r="K4" s="186"/>
    </row>
    <row r="5" spans="1:37" ht="15" thickBot="1" x14ac:dyDescent="0.35">
      <c r="A5" s="187"/>
      <c r="B5" s="188"/>
      <c r="C5" s="188"/>
      <c r="D5" s="188"/>
      <c r="E5" s="189"/>
      <c r="F5" s="190"/>
    </row>
    <row r="6" spans="1:37" ht="14.4" customHeight="1" x14ac:dyDescent="0.3">
      <c r="A6" s="412" t="s">
        <v>126</v>
      </c>
      <c r="B6" s="191" t="s">
        <v>127</v>
      </c>
      <c r="C6" s="192"/>
      <c r="D6" s="192"/>
      <c r="E6" s="192"/>
      <c r="F6" s="193"/>
    </row>
    <row r="7" spans="1:37" x14ac:dyDescent="0.3">
      <c r="A7" s="413"/>
      <c r="B7" s="194" t="s">
        <v>128</v>
      </c>
      <c r="C7" s="195"/>
      <c r="D7" s="195"/>
      <c r="E7" s="195"/>
      <c r="F7" s="196"/>
    </row>
    <row r="8" spans="1:37" ht="15" thickBot="1" x14ac:dyDescent="0.35">
      <c r="A8" s="414"/>
      <c r="B8" s="197" t="s">
        <v>129</v>
      </c>
      <c r="C8" s="198"/>
      <c r="D8" s="198"/>
      <c r="E8" s="198"/>
      <c r="F8" s="199"/>
    </row>
    <row r="9" spans="1:37" ht="15" thickBot="1" x14ac:dyDescent="0.35">
      <c r="AG9" s="392" t="s">
        <v>23</v>
      </c>
      <c r="AH9" s="393"/>
    </row>
    <row r="10" spans="1:37" ht="16.2" thickBot="1" x14ac:dyDescent="0.35">
      <c r="C10" s="200" t="s">
        <v>103</v>
      </c>
      <c r="D10" s="419" t="s">
        <v>130</v>
      </c>
      <c r="E10" s="420"/>
      <c r="I10" s="201"/>
      <c r="K10" s="202" t="s">
        <v>131</v>
      </c>
      <c r="L10" s="203" t="s">
        <v>132</v>
      </c>
      <c r="M10" s="204" t="s">
        <v>133</v>
      </c>
      <c r="N10" s="205"/>
      <c r="O10" s="205"/>
      <c r="P10" s="205"/>
      <c r="AG10" s="206" t="s">
        <v>3</v>
      </c>
      <c r="AH10" s="207">
        <v>0</v>
      </c>
    </row>
    <row r="11" spans="1:37" ht="15" thickBot="1" x14ac:dyDescent="0.35">
      <c r="C11" s="208" t="s">
        <v>134</v>
      </c>
      <c r="D11" s="209" t="s">
        <v>135</v>
      </c>
      <c r="E11" s="209"/>
      <c r="I11" s="201"/>
      <c r="K11" s="210" t="s">
        <v>3</v>
      </c>
      <c r="L11" s="161" t="s">
        <v>3</v>
      </c>
      <c r="M11" s="211">
        <v>0</v>
      </c>
      <c r="N11" s="212"/>
      <c r="O11" s="212"/>
      <c r="P11" s="212"/>
      <c r="AG11" s="213" t="s">
        <v>21</v>
      </c>
      <c r="AH11" s="214">
        <v>1</v>
      </c>
    </row>
    <row r="12" spans="1:37" x14ac:dyDescent="0.3">
      <c r="C12" s="215"/>
      <c r="D12" s="216" t="s">
        <v>3</v>
      </c>
      <c r="E12" s="217"/>
      <c r="I12" s="201"/>
      <c r="K12" s="210" t="s">
        <v>136</v>
      </c>
      <c r="L12" s="161" t="s">
        <v>21</v>
      </c>
      <c r="M12" s="211">
        <v>1</v>
      </c>
      <c r="N12" s="212"/>
      <c r="O12" s="212"/>
      <c r="P12" s="212"/>
      <c r="AG12" s="213" t="s">
        <v>19</v>
      </c>
      <c r="AH12" s="214">
        <v>2</v>
      </c>
    </row>
    <row r="13" spans="1:37" x14ac:dyDescent="0.3">
      <c r="C13" s="215"/>
      <c r="D13" s="218" t="s">
        <v>136</v>
      </c>
      <c r="E13" s="217"/>
      <c r="I13" s="201"/>
      <c r="K13" s="219" t="s">
        <v>137</v>
      </c>
      <c r="L13" s="161" t="s">
        <v>19</v>
      </c>
      <c r="M13" s="220">
        <v>2</v>
      </c>
      <c r="N13" s="221"/>
      <c r="O13" s="221"/>
      <c r="P13" s="221"/>
      <c r="AG13" s="213" t="s">
        <v>17</v>
      </c>
      <c r="AH13" s="214">
        <v>3</v>
      </c>
    </row>
    <row r="14" spans="1:37" ht="15" thickBot="1" x14ac:dyDescent="0.35">
      <c r="C14" s="215"/>
      <c r="D14" s="222" t="s">
        <v>137</v>
      </c>
      <c r="E14" s="223"/>
      <c r="I14" s="201"/>
      <c r="K14" s="210" t="s">
        <v>138</v>
      </c>
      <c r="L14" s="161" t="s">
        <v>17</v>
      </c>
      <c r="M14" s="211">
        <v>3</v>
      </c>
      <c r="N14" s="212"/>
      <c r="O14" s="212"/>
      <c r="P14" s="212"/>
      <c r="AG14" s="224" t="s">
        <v>15</v>
      </c>
      <c r="AH14" s="225">
        <v>4</v>
      </c>
    </row>
    <row r="15" spans="1:37" ht="15" thickBot="1" x14ac:dyDescent="0.35">
      <c r="C15" s="215"/>
      <c r="D15" s="218" t="s">
        <v>138</v>
      </c>
      <c r="E15" s="217"/>
      <c r="I15" s="201"/>
      <c r="K15" s="210" t="s">
        <v>139</v>
      </c>
      <c r="L15" s="161" t="s">
        <v>15</v>
      </c>
      <c r="M15" s="211">
        <v>4</v>
      </c>
      <c r="N15" s="212"/>
      <c r="O15" s="212"/>
      <c r="P15" s="212"/>
    </row>
    <row r="16" spans="1:37" ht="15" thickBot="1" x14ac:dyDescent="0.35">
      <c r="C16" s="215"/>
      <c r="D16" s="218" t="s">
        <v>139</v>
      </c>
      <c r="E16" s="217"/>
      <c r="I16" s="201"/>
      <c r="K16" s="226"/>
      <c r="L16" s="227"/>
      <c r="M16" s="228"/>
      <c r="N16" s="212"/>
      <c r="O16" s="212"/>
      <c r="P16" s="212"/>
      <c r="AG16" s="392" t="s">
        <v>99</v>
      </c>
      <c r="AH16" s="393"/>
      <c r="AJ16" s="392" t="s">
        <v>106</v>
      </c>
      <c r="AK16" s="393"/>
    </row>
    <row r="17" spans="3:37" ht="15" thickBot="1" x14ac:dyDescent="0.35">
      <c r="C17" s="215"/>
      <c r="D17" s="229"/>
      <c r="E17" s="217"/>
      <c r="I17" s="201"/>
      <c r="K17" s="230" t="s">
        <v>140</v>
      </c>
      <c r="L17" s="231"/>
      <c r="M17" s="232"/>
      <c r="N17" s="233" t="s">
        <v>141</v>
      </c>
      <c r="O17" s="234"/>
      <c r="P17" s="235"/>
      <c r="AG17" s="206" t="s">
        <v>3</v>
      </c>
      <c r="AH17" s="207">
        <v>0</v>
      </c>
      <c r="AJ17" s="206" t="s">
        <v>3</v>
      </c>
      <c r="AK17" s="207">
        <v>0</v>
      </c>
    </row>
    <row r="18" spans="3:37" ht="15" thickBot="1" x14ac:dyDescent="0.35">
      <c r="C18" s="236" t="s">
        <v>142</v>
      </c>
      <c r="D18" s="237" t="s">
        <v>143</v>
      </c>
      <c r="E18" s="238" t="s">
        <v>144</v>
      </c>
      <c r="I18" s="201"/>
      <c r="K18" s="210" t="s">
        <v>3</v>
      </c>
      <c r="L18" s="161" t="s">
        <v>3</v>
      </c>
      <c r="M18" s="214">
        <v>0</v>
      </c>
      <c r="N18" s="210" t="s">
        <v>3</v>
      </c>
      <c r="O18" s="239" t="s">
        <v>3</v>
      </c>
      <c r="P18" s="214">
        <v>0</v>
      </c>
      <c r="AG18" s="213" t="s">
        <v>4</v>
      </c>
      <c r="AH18" s="214">
        <v>1</v>
      </c>
      <c r="AJ18" s="213" t="s">
        <v>22</v>
      </c>
      <c r="AK18" s="214">
        <v>1</v>
      </c>
    </row>
    <row r="19" spans="3:37" x14ac:dyDescent="0.3">
      <c r="C19" s="215"/>
      <c r="D19" s="240" t="s">
        <v>3</v>
      </c>
      <c r="E19" s="241" t="s">
        <v>145</v>
      </c>
      <c r="I19" s="201"/>
      <c r="K19" s="210" t="s">
        <v>146</v>
      </c>
      <c r="L19" s="161" t="s">
        <v>4</v>
      </c>
      <c r="M19" s="214">
        <v>1</v>
      </c>
      <c r="N19" s="210" t="s">
        <v>147</v>
      </c>
      <c r="O19" s="239" t="s">
        <v>22</v>
      </c>
      <c r="P19" s="214">
        <v>1</v>
      </c>
      <c r="AG19" s="213" t="s">
        <v>2</v>
      </c>
      <c r="AH19" s="214">
        <v>2</v>
      </c>
      <c r="AJ19" s="213" t="s">
        <v>148</v>
      </c>
      <c r="AK19" s="214">
        <v>2</v>
      </c>
    </row>
    <row r="20" spans="3:37" x14ac:dyDescent="0.3">
      <c r="C20" s="215"/>
      <c r="D20" s="218" t="s">
        <v>146</v>
      </c>
      <c r="E20" s="241" t="s">
        <v>149</v>
      </c>
      <c r="I20" s="201"/>
      <c r="K20" s="242" t="s">
        <v>150</v>
      </c>
      <c r="L20" s="161" t="s">
        <v>2</v>
      </c>
      <c r="M20" s="243">
        <v>2</v>
      </c>
      <c r="N20" s="210" t="s">
        <v>151</v>
      </c>
      <c r="O20" s="239" t="s">
        <v>148</v>
      </c>
      <c r="P20" s="214">
        <v>2</v>
      </c>
      <c r="AG20" s="213" t="s">
        <v>152</v>
      </c>
      <c r="AH20" s="214">
        <v>3</v>
      </c>
      <c r="AJ20" s="213" t="s">
        <v>20</v>
      </c>
      <c r="AK20" s="214">
        <v>3</v>
      </c>
    </row>
    <row r="21" spans="3:37" ht="15" thickBot="1" x14ac:dyDescent="0.35">
      <c r="C21" s="215"/>
      <c r="D21" s="244" t="s">
        <v>150</v>
      </c>
      <c r="E21" s="241" t="s">
        <v>153</v>
      </c>
      <c r="I21" s="201"/>
      <c r="K21" s="210" t="s">
        <v>154</v>
      </c>
      <c r="L21" s="161" t="s">
        <v>152</v>
      </c>
      <c r="M21" s="214">
        <v>3</v>
      </c>
      <c r="N21" s="210" t="s">
        <v>155</v>
      </c>
      <c r="O21" s="239" t="s">
        <v>20</v>
      </c>
      <c r="P21" s="214">
        <v>3</v>
      </c>
      <c r="AG21" s="224" t="s">
        <v>0</v>
      </c>
      <c r="AH21" s="225">
        <v>4</v>
      </c>
      <c r="AJ21" s="224" t="s">
        <v>16</v>
      </c>
      <c r="AK21" s="225">
        <v>4</v>
      </c>
    </row>
    <row r="22" spans="3:37" ht="15" thickBot="1" x14ac:dyDescent="0.35">
      <c r="C22" s="215"/>
      <c r="D22" s="218" t="s">
        <v>154</v>
      </c>
      <c r="E22" s="241" t="s">
        <v>156</v>
      </c>
      <c r="I22" s="201"/>
      <c r="K22" s="210" t="s">
        <v>157</v>
      </c>
      <c r="L22" s="161" t="s">
        <v>0</v>
      </c>
      <c r="M22" s="214">
        <v>4</v>
      </c>
      <c r="N22" s="210" t="s">
        <v>158</v>
      </c>
      <c r="O22" s="239" t="s">
        <v>16</v>
      </c>
      <c r="P22" s="214">
        <v>4</v>
      </c>
    </row>
    <row r="23" spans="3:37" ht="15" thickBot="1" x14ac:dyDescent="0.35">
      <c r="C23" s="215"/>
      <c r="D23" s="218" t="s">
        <v>157</v>
      </c>
      <c r="E23" s="241" t="s">
        <v>159</v>
      </c>
      <c r="I23" s="201"/>
      <c r="K23" s="226"/>
      <c r="L23" s="227"/>
      <c r="M23" s="225"/>
      <c r="N23" s="226"/>
      <c r="O23" s="245"/>
      <c r="P23" s="246"/>
      <c r="AG23" s="392" t="s">
        <v>12</v>
      </c>
      <c r="AH23" s="393"/>
      <c r="AJ23" s="392" t="s">
        <v>101</v>
      </c>
      <c r="AK23" s="393"/>
    </row>
    <row r="24" spans="3:37" ht="15" thickBot="1" x14ac:dyDescent="0.35">
      <c r="C24" s="215"/>
      <c r="D24" s="229"/>
      <c r="E24" s="241"/>
      <c r="I24" s="201"/>
      <c r="K24" s="247" t="s">
        <v>160</v>
      </c>
      <c r="L24" s="248"/>
      <c r="M24" s="249"/>
      <c r="N24" s="247" t="s">
        <v>161</v>
      </c>
      <c r="O24" s="250"/>
      <c r="P24" s="251"/>
      <c r="Q24" s="247" t="s">
        <v>162</v>
      </c>
      <c r="R24" s="250"/>
      <c r="S24" s="251"/>
      <c r="AG24" s="206" t="s">
        <v>3</v>
      </c>
      <c r="AH24" s="207">
        <v>0</v>
      </c>
      <c r="AJ24" s="206" t="s">
        <v>3</v>
      </c>
      <c r="AK24" s="207">
        <v>0</v>
      </c>
    </row>
    <row r="25" spans="3:37" ht="15" thickBot="1" x14ac:dyDescent="0.35">
      <c r="C25" s="252" t="s">
        <v>163</v>
      </c>
      <c r="D25" s="253" t="s">
        <v>164</v>
      </c>
      <c r="E25" s="254" t="s">
        <v>165</v>
      </c>
      <c r="I25" s="201"/>
      <c r="K25" s="210" t="s">
        <v>3</v>
      </c>
      <c r="L25" s="161" t="s">
        <v>3</v>
      </c>
      <c r="M25" s="214">
        <v>0</v>
      </c>
      <c r="N25" s="210" t="s">
        <v>3</v>
      </c>
      <c r="O25" s="239" t="s">
        <v>3</v>
      </c>
      <c r="P25" s="214">
        <v>0</v>
      </c>
      <c r="Q25" s="210" t="s">
        <v>3</v>
      </c>
      <c r="R25" s="239" t="s">
        <v>3</v>
      </c>
      <c r="S25" s="214">
        <v>0</v>
      </c>
      <c r="AG25" s="213" t="s">
        <v>9</v>
      </c>
      <c r="AH25" s="214">
        <v>1</v>
      </c>
      <c r="AJ25" s="213" t="s">
        <v>107</v>
      </c>
      <c r="AK25" s="214">
        <v>1</v>
      </c>
    </row>
    <row r="26" spans="3:37" x14ac:dyDescent="0.3">
      <c r="C26" s="215"/>
      <c r="D26" s="240" t="s">
        <v>3</v>
      </c>
      <c r="E26" s="241" t="s">
        <v>145</v>
      </c>
      <c r="I26" s="201"/>
      <c r="K26" s="210" t="s">
        <v>166</v>
      </c>
      <c r="L26" s="161" t="s">
        <v>9</v>
      </c>
      <c r="M26" s="214">
        <v>1</v>
      </c>
      <c r="N26" s="210" t="s">
        <v>167</v>
      </c>
      <c r="O26" s="239" t="s">
        <v>107</v>
      </c>
      <c r="P26" s="214">
        <v>1</v>
      </c>
      <c r="Q26" s="210" t="s">
        <v>168</v>
      </c>
      <c r="R26" s="239" t="s">
        <v>111</v>
      </c>
      <c r="S26" s="214">
        <v>1</v>
      </c>
      <c r="AG26" s="213" t="s">
        <v>8</v>
      </c>
      <c r="AH26" s="214">
        <v>2</v>
      </c>
      <c r="AJ26" s="213" t="s">
        <v>108</v>
      </c>
      <c r="AK26" s="214">
        <v>2</v>
      </c>
    </row>
    <row r="27" spans="3:37" x14ac:dyDescent="0.3">
      <c r="C27" s="215"/>
      <c r="D27" s="218" t="s">
        <v>166</v>
      </c>
      <c r="E27" s="241" t="s">
        <v>169</v>
      </c>
      <c r="I27" s="201"/>
      <c r="K27" s="219" t="s">
        <v>170</v>
      </c>
      <c r="L27" s="161" t="s">
        <v>8</v>
      </c>
      <c r="M27" s="243">
        <v>2</v>
      </c>
      <c r="N27" s="210" t="s">
        <v>171</v>
      </c>
      <c r="O27" s="239" t="s">
        <v>108</v>
      </c>
      <c r="P27" s="214">
        <v>2</v>
      </c>
      <c r="Q27" s="210" t="s">
        <v>172</v>
      </c>
      <c r="R27" s="239" t="s">
        <v>112</v>
      </c>
      <c r="S27" s="214">
        <v>2</v>
      </c>
      <c r="AG27" s="213" t="s">
        <v>173</v>
      </c>
      <c r="AH27" s="214">
        <v>3</v>
      </c>
      <c r="AJ27" s="213" t="s">
        <v>109</v>
      </c>
      <c r="AK27" s="214">
        <v>3</v>
      </c>
    </row>
    <row r="28" spans="3:37" ht="15" thickBot="1" x14ac:dyDescent="0.35">
      <c r="C28" s="215"/>
      <c r="D28" s="222" t="s">
        <v>170</v>
      </c>
      <c r="E28" s="241" t="s">
        <v>174</v>
      </c>
      <c r="I28" s="201"/>
      <c r="K28" s="210" t="s">
        <v>175</v>
      </c>
      <c r="L28" s="161" t="s">
        <v>173</v>
      </c>
      <c r="M28" s="214">
        <v>3</v>
      </c>
      <c r="N28" s="210" t="s">
        <v>176</v>
      </c>
      <c r="O28" s="239" t="s">
        <v>109</v>
      </c>
      <c r="P28" s="214">
        <v>3</v>
      </c>
      <c r="Q28" s="210" t="s">
        <v>177</v>
      </c>
      <c r="R28" s="239" t="s">
        <v>113</v>
      </c>
      <c r="S28" s="214">
        <v>3</v>
      </c>
      <c r="AG28" s="224" t="s">
        <v>178</v>
      </c>
      <c r="AH28" s="225">
        <v>4</v>
      </c>
      <c r="AJ28" s="224" t="s">
        <v>179</v>
      </c>
      <c r="AK28" s="225">
        <v>4</v>
      </c>
    </row>
    <row r="29" spans="3:37" x14ac:dyDescent="0.3">
      <c r="C29" s="215"/>
      <c r="D29" s="218" t="s">
        <v>175</v>
      </c>
      <c r="E29" s="241" t="s">
        <v>180</v>
      </c>
      <c r="I29" s="201"/>
      <c r="K29" s="210" t="s">
        <v>181</v>
      </c>
      <c r="L29" s="161" t="s">
        <v>178</v>
      </c>
      <c r="M29" s="214">
        <v>4</v>
      </c>
      <c r="N29" s="210" t="s">
        <v>182</v>
      </c>
      <c r="O29" s="239" t="s">
        <v>179</v>
      </c>
      <c r="P29" s="214">
        <v>4</v>
      </c>
      <c r="Q29" s="210" t="s">
        <v>183</v>
      </c>
      <c r="R29" s="239" t="s">
        <v>114</v>
      </c>
      <c r="S29" s="214">
        <v>4</v>
      </c>
    </row>
    <row r="30" spans="3:37" ht="15" thickBot="1" x14ac:dyDescent="0.35">
      <c r="C30" s="255"/>
      <c r="D30" s="229" t="s">
        <v>181</v>
      </c>
      <c r="E30" s="246" t="s">
        <v>184</v>
      </c>
      <c r="K30" s="226"/>
      <c r="L30" s="245"/>
      <c r="M30" s="246"/>
      <c r="N30" s="226"/>
      <c r="O30" s="245"/>
      <c r="P30" s="246"/>
      <c r="Q30" s="226"/>
      <c r="R30" s="245"/>
      <c r="S30" s="246"/>
    </row>
    <row r="33" spans="1:29" ht="18" x14ac:dyDescent="0.3">
      <c r="A33" s="256" t="s">
        <v>185</v>
      </c>
    </row>
    <row r="34" spans="1:29" x14ac:dyDescent="0.3">
      <c r="C34" s="257" t="s">
        <v>186</v>
      </c>
      <c r="D34" s="257" t="s">
        <v>187</v>
      </c>
      <c r="E34" s="257" t="s">
        <v>103</v>
      </c>
      <c r="F34" s="257" t="s">
        <v>188</v>
      </c>
      <c r="G34" s="257" t="s">
        <v>189</v>
      </c>
      <c r="H34" s="88"/>
    </row>
    <row r="35" spans="1:29" ht="16.2" customHeight="1" x14ac:dyDescent="0.3">
      <c r="C35" s="257" t="s">
        <v>27</v>
      </c>
      <c r="D35" s="257" t="s">
        <v>190</v>
      </c>
      <c r="E35" s="257" t="s">
        <v>191</v>
      </c>
      <c r="F35" s="257" t="s">
        <v>192</v>
      </c>
      <c r="G35" s="257">
        <v>3</v>
      </c>
      <c r="H35" s="88"/>
    </row>
    <row r="36" spans="1:29" x14ac:dyDescent="0.3">
      <c r="C36" s="257" t="s">
        <v>28</v>
      </c>
      <c r="D36" s="257" t="s">
        <v>193</v>
      </c>
      <c r="E36" s="257" t="s">
        <v>41</v>
      </c>
      <c r="F36" s="257" t="s">
        <v>194</v>
      </c>
      <c r="G36" s="257">
        <v>1</v>
      </c>
      <c r="H36" s="88"/>
    </row>
    <row r="37" spans="1:29" x14ac:dyDescent="0.3">
      <c r="C37" s="88"/>
      <c r="D37" s="88"/>
      <c r="E37" s="88"/>
      <c r="F37" s="88"/>
      <c r="G37" s="88"/>
      <c r="H37" s="88"/>
    </row>
    <row r="45" spans="1:29" ht="15" thickBot="1" x14ac:dyDescent="0.35"/>
    <row r="46" spans="1:29" x14ac:dyDescent="0.3">
      <c r="A46" s="397" t="s">
        <v>195</v>
      </c>
      <c r="B46" s="397"/>
      <c r="C46" s="395" t="s">
        <v>196</v>
      </c>
      <c r="D46" s="395"/>
      <c r="E46" s="395"/>
      <c r="F46" s="395"/>
      <c r="G46" s="395"/>
      <c r="H46" s="395"/>
      <c r="I46" s="395"/>
      <c r="J46" s="58"/>
      <c r="K46" s="14"/>
      <c r="L46" s="399" t="s">
        <v>197</v>
      </c>
      <c r="M46" s="399"/>
      <c r="N46" s="365" t="s">
        <v>188</v>
      </c>
      <c r="O46" s="365"/>
      <c r="P46" s="365"/>
      <c r="Q46" s="365"/>
      <c r="R46" s="365"/>
      <c r="S46" s="19"/>
      <c r="T46" s="258"/>
      <c r="U46" s="258"/>
      <c r="V46" s="400" t="s">
        <v>198</v>
      </c>
      <c r="W46" s="401"/>
      <c r="X46" s="394" t="s">
        <v>199</v>
      </c>
      <c r="Y46" s="395"/>
      <c r="Z46" s="395"/>
      <c r="AA46" s="395"/>
      <c r="AB46" s="395"/>
      <c r="AC46" s="395"/>
    </row>
    <row r="47" spans="1:29" ht="15" thickBot="1" x14ac:dyDescent="0.35">
      <c r="A47" s="398"/>
      <c r="B47" s="398"/>
      <c r="C47" s="396"/>
      <c r="D47" s="396"/>
      <c r="E47" s="396"/>
      <c r="F47" s="396"/>
      <c r="G47" s="396"/>
      <c r="H47" s="396"/>
      <c r="I47" s="396"/>
      <c r="J47" s="58"/>
      <c r="K47" s="259" t="s">
        <v>200</v>
      </c>
      <c r="L47" s="404" t="s">
        <v>201</v>
      </c>
      <c r="M47" s="405"/>
      <c r="N47" s="406" t="s">
        <v>202</v>
      </c>
      <c r="O47" s="406"/>
      <c r="P47" s="406"/>
      <c r="Q47" s="406"/>
      <c r="R47" s="406"/>
      <c r="S47" s="258"/>
      <c r="T47" s="258"/>
      <c r="U47" s="258"/>
      <c r="V47" s="402"/>
      <c r="W47" s="403"/>
      <c r="X47" s="396"/>
      <c r="Y47" s="396"/>
      <c r="Z47" s="396"/>
      <c r="AA47" s="396"/>
      <c r="AB47" s="396"/>
      <c r="AC47" s="396"/>
    </row>
    <row r="48" spans="1:29" x14ac:dyDescent="0.3">
      <c r="A48" s="398"/>
      <c r="B48" s="398"/>
      <c r="C48" s="396"/>
      <c r="D48" s="396"/>
      <c r="E48" s="396"/>
      <c r="F48" s="396"/>
      <c r="G48" s="396"/>
      <c r="H48" s="396"/>
      <c r="I48" s="396"/>
      <c r="J48" s="58"/>
      <c r="K48" s="361" t="s">
        <v>188</v>
      </c>
      <c r="L48" s="407" t="s">
        <v>203</v>
      </c>
      <c r="M48" s="408"/>
      <c r="N48" s="260"/>
      <c r="O48" s="261"/>
      <c r="P48" s="261"/>
      <c r="Q48" s="261"/>
      <c r="R48" s="262"/>
      <c r="S48" s="258"/>
      <c r="T48" s="258"/>
      <c r="U48" s="258"/>
      <c r="V48" s="14"/>
      <c r="W48" s="14"/>
      <c r="X48" s="14"/>
      <c r="Y48" s="14"/>
      <c r="Z48" s="14"/>
      <c r="AA48" s="14"/>
      <c r="AB48" s="14"/>
      <c r="AC48" s="14"/>
    </row>
    <row r="49" spans="1:29" x14ac:dyDescent="0.3">
      <c r="A49" s="14"/>
      <c r="B49" s="14"/>
      <c r="C49" s="14"/>
      <c r="D49" s="14"/>
      <c r="E49" s="58"/>
      <c r="F49" s="58"/>
      <c r="G49" s="58"/>
      <c r="H49" s="58"/>
      <c r="I49" s="58"/>
      <c r="J49" s="58"/>
      <c r="K49" s="345"/>
      <c r="L49" s="407"/>
      <c r="M49" s="408"/>
      <c r="N49" s="263"/>
      <c r="O49" s="264"/>
      <c r="P49" s="58">
        <v>3</v>
      </c>
      <c r="Q49" s="264"/>
      <c r="R49" s="265"/>
      <c r="S49" s="258"/>
      <c r="T49" s="410" t="s">
        <v>204</v>
      </c>
      <c r="U49" s="410"/>
      <c r="V49" s="410"/>
      <c r="W49" s="266"/>
      <c r="X49" s="266"/>
      <c r="Y49" s="266"/>
      <c r="Z49" s="14"/>
      <c r="AA49" s="14"/>
      <c r="AB49" s="14"/>
      <c r="AC49" s="14"/>
    </row>
    <row r="50" spans="1:29" x14ac:dyDescent="0.3">
      <c r="A50" s="14"/>
      <c r="B50" s="14"/>
      <c r="C50" s="14"/>
      <c r="D50" s="14"/>
      <c r="E50" s="58"/>
      <c r="F50" s="58"/>
      <c r="G50" s="58"/>
      <c r="H50" s="58"/>
      <c r="I50" s="58"/>
      <c r="J50" s="58"/>
      <c r="K50" s="345"/>
      <c r="L50" s="407"/>
      <c r="M50" s="409"/>
      <c r="N50" s="408" t="s">
        <v>205</v>
      </c>
      <c r="O50" s="411"/>
      <c r="P50" s="411"/>
      <c r="Q50" s="411"/>
      <c r="R50" s="407"/>
      <c r="S50" s="258"/>
      <c r="T50" s="410"/>
      <c r="U50" s="410"/>
      <c r="V50" s="410"/>
      <c r="W50" s="266"/>
      <c r="X50" s="266"/>
      <c r="Y50" s="266"/>
      <c r="Z50" s="14"/>
      <c r="AA50" s="14"/>
      <c r="AB50" s="14"/>
      <c r="AC50" s="14"/>
    </row>
    <row r="51" spans="1:29" x14ac:dyDescent="0.3">
      <c r="A51" s="14"/>
      <c r="B51" s="14"/>
      <c r="C51" s="14"/>
      <c r="D51" s="14"/>
      <c r="E51" s="58"/>
      <c r="F51" s="58"/>
      <c r="G51" s="58"/>
      <c r="H51" s="58"/>
      <c r="I51" s="58"/>
      <c r="J51" s="58"/>
      <c r="K51" s="345"/>
      <c r="L51" s="407"/>
      <c r="M51" s="408"/>
      <c r="N51" s="267"/>
      <c r="O51" s="261"/>
      <c r="P51" s="261"/>
      <c r="Q51" s="261"/>
      <c r="R51" s="262"/>
      <c r="S51" s="258"/>
      <c r="T51" s="410"/>
      <c r="U51" s="410"/>
      <c r="V51" s="410"/>
      <c r="W51" s="14"/>
      <c r="X51" s="14"/>
      <c r="Y51" s="14"/>
      <c r="Z51" s="14"/>
      <c r="AA51" s="14"/>
      <c r="AB51" s="14"/>
      <c r="AC51" s="14"/>
    </row>
    <row r="52" spans="1:29" x14ac:dyDescent="0.3">
      <c r="A52" s="14"/>
      <c r="B52" s="14"/>
      <c r="C52" s="14"/>
      <c r="D52" s="14"/>
      <c r="E52" s="58"/>
      <c r="F52" s="58"/>
      <c r="G52" s="58"/>
      <c r="H52" s="58"/>
      <c r="I52" s="58"/>
      <c r="J52" s="58"/>
      <c r="K52" s="346"/>
      <c r="L52" s="407"/>
      <c r="M52" s="408"/>
      <c r="N52" s="268"/>
      <c r="O52" s="269"/>
      <c r="P52" s="269"/>
      <c r="Q52" s="269"/>
      <c r="R52" s="270"/>
      <c r="S52" s="258"/>
      <c r="T52" s="410"/>
      <c r="U52" s="410"/>
      <c r="V52" s="410"/>
      <c r="W52" s="14"/>
      <c r="X52" s="14"/>
      <c r="Y52" s="14"/>
      <c r="Z52" s="14"/>
      <c r="AA52" s="14"/>
      <c r="AB52" s="14"/>
      <c r="AC52" s="14"/>
    </row>
    <row r="53" spans="1:29" x14ac:dyDescent="0.3">
      <c r="A53" s="14"/>
      <c r="B53" s="14"/>
      <c r="C53" s="14"/>
      <c r="D53" s="14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258"/>
      <c r="Q53" s="258"/>
      <c r="R53" s="258"/>
      <c r="S53" s="258"/>
      <c r="T53" s="258"/>
      <c r="U53" s="258"/>
      <c r="V53" s="14"/>
      <c r="W53" s="14"/>
      <c r="X53" s="14"/>
      <c r="Y53" s="14"/>
      <c r="Z53" s="14"/>
      <c r="AA53" s="14"/>
      <c r="AB53" s="14"/>
      <c r="AC53" s="14"/>
    </row>
    <row r="54" spans="1:29" x14ac:dyDescent="0.3">
      <c r="A54" s="14"/>
      <c r="B54" s="14"/>
      <c r="C54" s="14"/>
      <c r="D54" s="14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258"/>
      <c r="Q54" s="258"/>
      <c r="R54" s="258"/>
      <c r="S54" s="258"/>
      <c r="T54" s="258"/>
      <c r="U54" s="258"/>
      <c r="V54" s="14"/>
      <c r="W54" s="14"/>
      <c r="X54" s="14"/>
      <c r="Y54" s="14"/>
      <c r="Z54" s="14"/>
      <c r="AA54" s="14"/>
      <c r="AB54" s="14"/>
      <c r="AC54" s="14"/>
    </row>
    <row r="55" spans="1:29" ht="18" x14ac:dyDescent="0.3">
      <c r="A55" s="14"/>
      <c r="B55" s="14"/>
      <c r="C55" s="14"/>
      <c r="D55" s="14"/>
      <c r="E55" s="58"/>
      <c r="F55" s="58"/>
      <c r="G55" s="58"/>
      <c r="H55" s="58"/>
      <c r="I55" s="58"/>
      <c r="J55" s="58"/>
      <c r="K55" s="391" t="s">
        <v>206</v>
      </c>
      <c r="L55" s="391"/>
      <c r="M55" s="391"/>
      <c r="N55" s="391"/>
      <c r="O55" s="391"/>
      <c r="P55" s="391"/>
      <c r="Q55" s="391"/>
      <c r="R55" s="391"/>
      <c r="S55" s="258"/>
      <c r="T55" s="258"/>
      <c r="U55" s="258"/>
      <c r="V55" s="14"/>
      <c r="W55" s="14"/>
      <c r="X55" s="14"/>
      <c r="Y55" s="14"/>
      <c r="Z55" s="14"/>
      <c r="AA55" s="14"/>
      <c r="AB55" s="14"/>
      <c r="AC55" s="14"/>
    </row>
  </sheetData>
  <mergeCells count="22">
    <mergeCell ref="A1:A4"/>
    <mergeCell ref="B1:D4"/>
    <mergeCell ref="A6:A8"/>
    <mergeCell ref="AG9:AH9"/>
    <mergeCell ref="D10:E10"/>
    <mergeCell ref="A46:B48"/>
    <mergeCell ref="C46:I48"/>
    <mergeCell ref="L46:M46"/>
    <mergeCell ref="N46:R46"/>
    <mergeCell ref="V46:W47"/>
    <mergeCell ref="L47:M47"/>
    <mergeCell ref="N47:R47"/>
    <mergeCell ref="K48:K52"/>
    <mergeCell ref="L48:M52"/>
    <mergeCell ref="T49:V52"/>
    <mergeCell ref="N50:R50"/>
    <mergeCell ref="K55:R55"/>
    <mergeCell ref="AJ16:AK16"/>
    <mergeCell ref="AG23:AH23"/>
    <mergeCell ref="AJ23:AK23"/>
    <mergeCell ref="X46:AC47"/>
    <mergeCell ref="AG16:AH1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BC8E-DD40-40B5-8090-230C3884E141}">
  <dimension ref="A1:N45"/>
  <sheetViews>
    <sheetView zoomScale="99" workbookViewId="0">
      <selection activeCell="I12" sqref="I12"/>
    </sheetView>
  </sheetViews>
  <sheetFormatPr defaultRowHeight="14.4" x14ac:dyDescent="0.3"/>
  <cols>
    <col min="1" max="1" width="26.5546875" style="321" customWidth="1"/>
    <col min="2" max="2" width="22.77734375" style="320" customWidth="1"/>
    <col min="3" max="3" width="25" style="320" customWidth="1"/>
    <col min="4" max="4" width="21.6640625" style="53" customWidth="1"/>
    <col min="5" max="5" width="17.77734375" style="53" customWidth="1"/>
    <col min="6" max="6" width="15.33203125" style="53" customWidth="1"/>
    <col min="7" max="11" width="8.88671875" style="53"/>
    <col min="12" max="12" width="8.88671875" style="50"/>
    <col min="13" max="13" width="11" style="50" bestFit="1" customWidth="1"/>
    <col min="14" max="14" width="14.109375" style="50" bestFit="1" customWidth="1"/>
    <col min="15" max="16384" width="8.88671875" style="53"/>
  </cols>
  <sheetData>
    <row r="1" spans="1:14" x14ac:dyDescent="0.3">
      <c r="A1" s="328" t="s">
        <v>277</v>
      </c>
      <c r="B1" s="329" t="s">
        <v>106</v>
      </c>
      <c r="C1" s="329" t="s">
        <v>99</v>
      </c>
      <c r="D1" s="329" t="s">
        <v>23</v>
      </c>
      <c r="E1" s="315" t="s">
        <v>12</v>
      </c>
      <c r="F1" s="315" t="s">
        <v>101</v>
      </c>
    </row>
    <row r="2" spans="1:14" x14ac:dyDescent="0.3">
      <c r="A2" s="330" t="s">
        <v>106</v>
      </c>
      <c r="B2" s="331" t="s">
        <v>278</v>
      </c>
      <c r="C2" s="331" t="s">
        <v>279</v>
      </c>
      <c r="D2" s="332" t="s">
        <v>278</v>
      </c>
      <c r="E2" s="317" t="s">
        <v>279</v>
      </c>
      <c r="F2" s="318" t="s">
        <v>280</v>
      </c>
      <c r="L2" s="50" t="s">
        <v>281</v>
      </c>
      <c r="M2" s="50" t="s">
        <v>95</v>
      </c>
      <c r="N2" s="50" t="str">
        <f>_xlfn.TEXTJOIN(", ", TRUE,L2:M2 )</f>
        <v>P1, Minor</v>
      </c>
    </row>
    <row r="3" spans="1:14" x14ac:dyDescent="0.3">
      <c r="A3" s="330" t="s">
        <v>99</v>
      </c>
      <c r="B3" s="333" t="s">
        <v>292</v>
      </c>
      <c r="C3" s="332" t="s">
        <v>278</v>
      </c>
      <c r="D3" s="334" t="s">
        <v>292</v>
      </c>
      <c r="E3" s="317" t="s">
        <v>279</v>
      </c>
      <c r="F3" s="319" t="s">
        <v>278</v>
      </c>
      <c r="L3" s="50" t="s">
        <v>192</v>
      </c>
      <c r="M3" s="50" t="s">
        <v>95</v>
      </c>
      <c r="N3" s="50" t="str">
        <f>_xlfn.TEXTJOIN(", ", TRUE,L3:M3 )</f>
        <v>P2, Minor</v>
      </c>
    </row>
    <row r="4" spans="1:14" x14ac:dyDescent="0.3">
      <c r="A4" s="330" t="s">
        <v>23</v>
      </c>
      <c r="B4" s="334" t="s">
        <v>292</v>
      </c>
      <c r="C4" s="332" t="s">
        <v>278</v>
      </c>
      <c r="D4" s="332" t="s">
        <v>278</v>
      </c>
      <c r="E4" s="318" t="s">
        <v>280</v>
      </c>
      <c r="F4" s="317" t="s">
        <v>279</v>
      </c>
      <c r="L4" s="50" t="s">
        <v>282</v>
      </c>
      <c r="M4" s="50" t="s">
        <v>95</v>
      </c>
      <c r="N4" s="50" t="str">
        <f t="shared" ref="N4:N25" si="0">_xlfn.TEXTJOIN(", ", TRUE,L4:M4 )</f>
        <v>P3, Minor</v>
      </c>
    </row>
    <row r="5" spans="1:14" x14ac:dyDescent="0.3">
      <c r="A5" s="330" t="s">
        <v>12</v>
      </c>
      <c r="B5" s="331" t="s">
        <v>278</v>
      </c>
      <c r="C5" s="331" t="s">
        <v>279</v>
      </c>
      <c r="D5" s="331" t="s">
        <v>278</v>
      </c>
      <c r="E5" s="317" t="s">
        <v>278</v>
      </c>
      <c r="F5" s="317" t="s">
        <v>279</v>
      </c>
      <c r="L5" s="50" t="s">
        <v>283</v>
      </c>
      <c r="M5" s="50" t="s">
        <v>95</v>
      </c>
      <c r="N5" s="50" t="str">
        <f t="shared" si="0"/>
        <v>P4, Minor</v>
      </c>
    </row>
    <row r="6" spans="1:14" x14ac:dyDescent="0.3">
      <c r="A6" s="330" t="s">
        <v>101</v>
      </c>
      <c r="B6" s="331" t="s">
        <v>279</v>
      </c>
      <c r="C6" s="331" t="s">
        <v>278</v>
      </c>
      <c r="D6" s="331" t="s">
        <v>278</v>
      </c>
      <c r="E6" s="318" t="s">
        <v>280</v>
      </c>
      <c r="F6" s="319" t="s">
        <v>278</v>
      </c>
      <c r="L6" s="50" t="s">
        <v>284</v>
      </c>
      <c r="M6" s="50" t="s">
        <v>95</v>
      </c>
      <c r="N6" s="50" t="str">
        <f t="shared" si="0"/>
        <v>P5, Minor</v>
      </c>
    </row>
    <row r="7" spans="1:14" x14ac:dyDescent="0.3">
      <c r="A7" s="335" t="s">
        <v>293</v>
      </c>
      <c r="L7" s="50" t="s">
        <v>285</v>
      </c>
      <c r="M7" s="50" t="s">
        <v>95</v>
      </c>
      <c r="N7" s="50" t="str">
        <f t="shared" si="0"/>
        <v>P6, Minor</v>
      </c>
    </row>
    <row r="8" spans="1:14" x14ac:dyDescent="0.3">
      <c r="L8" s="50" t="s">
        <v>281</v>
      </c>
      <c r="M8" s="50" t="s">
        <v>96</v>
      </c>
      <c r="N8" s="50" t="str">
        <f t="shared" si="0"/>
        <v>P1, Major</v>
      </c>
    </row>
    <row r="9" spans="1:14" x14ac:dyDescent="0.3">
      <c r="L9" s="50" t="s">
        <v>192</v>
      </c>
      <c r="M9" s="50" t="s">
        <v>96</v>
      </c>
      <c r="N9" s="50" t="str">
        <f t="shared" si="0"/>
        <v>P2, Major</v>
      </c>
    </row>
    <row r="10" spans="1:14" x14ac:dyDescent="0.3">
      <c r="L10" s="50" t="s">
        <v>282</v>
      </c>
      <c r="M10" s="50" t="s">
        <v>96</v>
      </c>
      <c r="N10" s="50" t="str">
        <f t="shared" si="0"/>
        <v>P3, Major</v>
      </c>
    </row>
    <row r="11" spans="1:14" s="316" customFormat="1" x14ac:dyDescent="0.3">
      <c r="A11" s="336" t="s">
        <v>296</v>
      </c>
      <c r="B11" s="329" t="s">
        <v>3</v>
      </c>
      <c r="C11" s="329" t="s">
        <v>95</v>
      </c>
      <c r="D11" s="337" t="s">
        <v>96</v>
      </c>
      <c r="E11" s="337" t="s">
        <v>273</v>
      </c>
      <c r="F11" s="337" t="s">
        <v>110</v>
      </c>
      <c r="L11" s="50" t="s">
        <v>283</v>
      </c>
      <c r="M11" s="50" t="s">
        <v>96</v>
      </c>
      <c r="N11" s="50" t="str">
        <f t="shared" si="0"/>
        <v>P4, Major</v>
      </c>
    </row>
    <row r="12" spans="1:14" ht="28.8" x14ac:dyDescent="0.3">
      <c r="A12" s="329" t="s">
        <v>294</v>
      </c>
      <c r="B12" s="336" t="s">
        <v>3</v>
      </c>
      <c r="C12" s="338" t="s">
        <v>96</v>
      </c>
      <c r="D12" s="338" t="s">
        <v>273</v>
      </c>
      <c r="E12" s="338" t="s">
        <v>110</v>
      </c>
      <c r="F12" s="338" t="s">
        <v>110</v>
      </c>
      <c r="L12" s="50" t="s">
        <v>284</v>
      </c>
      <c r="M12" s="50" t="s">
        <v>96</v>
      </c>
      <c r="N12" s="50" t="str">
        <f t="shared" si="0"/>
        <v>P5, Major</v>
      </c>
    </row>
    <row r="13" spans="1:14" ht="28.8" x14ac:dyDescent="0.3">
      <c r="A13" s="329" t="s">
        <v>295</v>
      </c>
      <c r="B13" s="336" t="s">
        <v>3</v>
      </c>
      <c r="C13" s="336" t="s">
        <v>95</v>
      </c>
      <c r="D13" s="338" t="s">
        <v>96</v>
      </c>
      <c r="E13" s="338" t="s">
        <v>273</v>
      </c>
      <c r="F13" s="338" t="s">
        <v>110</v>
      </c>
      <c r="L13" s="50" t="s">
        <v>285</v>
      </c>
      <c r="M13" s="50" t="s">
        <v>96</v>
      </c>
      <c r="N13" s="50" t="str">
        <f t="shared" si="0"/>
        <v>P6, Major</v>
      </c>
    </row>
    <row r="14" spans="1:14" x14ac:dyDescent="0.3">
      <c r="A14" s="322"/>
      <c r="L14" s="50" t="s">
        <v>281</v>
      </c>
      <c r="M14" s="50" t="s">
        <v>97</v>
      </c>
      <c r="N14" s="50" t="str">
        <f t="shared" si="0"/>
        <v>P1, Hazard</v>
      </c>
    </row>
    <row r="15" spans="1:14" x14ac:dyDescent="0.3">
      <c r="L15" s="50" t="s">
        <v>192</v>
      </c>
      <c r="M15" s="50" t="s">
        <v>97</v>
      </c>
      <c r="N15" s="50" t="str">
        <f t="shared" si="0"/>
        <v>P2, Hazard</v>
      </c>
    </row>
    <row r="16" spans="1:14" x14ac:dyDescent="0.3">
      <c r="L16" s="50" t="s">
        <v>282</v>
      </c>
      <c r="M16" s="50" t="s">
        <v>97</v>
      </c>
      <c r="N16" s="50" t="str">
        <f t="shared" si="0"/>
        <v>P3, Hazard</v>
      </c>
    </row>
    <row r="17" spans="1:14" ht="18" x14ac:dyDescent="0.35">
      <c r="A17" s="323" t="s">
        <v>286</v>
      </c>
      <c r="L17" s="50" t="s">
        <v>283</v>
      </c>
      <c r="M17" s="50" t="s">
        <v>97</v>
      </c>
      <c r="N17" s="50" t="str">
        <f t="shared" si="0"/>
        <v>P4, Hazard</v>
      </c>
    </row>
    <row r="18" spans="1:14" x14ac:dyDescent="0.3">
      <c r="A18" s="324" t="s">
        <v>287</v>
      </c>
      <c r="L18" s="50" t="s">
        <v>284</v>
      </c>
      <c r="M18" s="50" t="s">
        <v>97</v>
      </c>
      <c r="N18" s="50" t="str">
        <f t="shared" si="0"/>
        <v>P5, Hazard</v>
      </c>
    </row>
    <row r="19" spans="1:14" x14ac:dyDescent="0.3">
      <c r="A19" s="324" t="s">
        <v>288</v>
      </c>
      <c r="L19" s="50" t="s">
        <v>285</v>
      </c>
      <c r="M19" s="50" t="s">
        <v>97</v>
      </c>
      <c r="N19" s="50" t="str">
        <f t="shared" si="0"/>
        <v>P6, Hazard</v>
      </c>
    </row>
    <row r="20" spans="1:14" x14ac:dyDescent="0.3">
      <c r="A20" s="324" t="s">
        <v>289</v>
      </c>
      <c r="L20" s="50" t="s">
        <v>281</v>
      </c>
      <c r="M20" s="50" t="s">
        <v>110</v>
      </c>
      <c r="N20" s="50" t="str">
        <f t="shared" si="0"/>
        <v>P1, Catasrophic</v>
      </c>
    </row>
    <row r="21" spans="1:14" x14ac:dyDescent="0.3">
      <c r="A21" s="324" t="s">
        <v>290</v>
      </c>
      <c r="L21" s="50" t="s">
        <v>192</v>
      </c>
      <c r="M21" s="50" t="s">
        <v>110</v>
      </c>
      <c r="N21" s="50" t="str">
        <f t="shared" si="0"/>
        <v>P2, Catasrophic</v>
      </c>
    </row>
    <row r="22" spans="1:14" x14ac:dyDescent="0.3">
      <c r="A22" s="325" t="s">
        <v>291</v>
      </c>
      <c r="L22" s="50" t="s">
        <v>282</v>
      </c>
      <c r="M22" s="50" t="s">
        <v>110</v>
      </c>
      <c r="N22" s="50" t="str">
        <f t="shared" si="0"/>
        <v>P3, Catasrophic</v>
      </c>
    </row>
    <row r="23" spans="1:14" x14ac:dyDescent="0.3">
      <c r="L23" s="50" t="s">
        <v>283</v>
      </c>
      <c r="M23" s="50" t="s">
        <v>110</v>
      </c>
      <c r="N23" s="50" t="str">
        <f t="shared" si="0"/>
        <v>P4, Catasrophic</v>
      </c>
    </row>
    <row r="24" spans="1:14" x14ac:dyDescent="0.3">
      <c r="L24" s="50" t="s">
        <v>284</v>
      </c>
      <c r="M24" s="50" t="s">
        <v>110</v>
      </c>
      <c r="N24" s="50" t="str">
        <f t="shared" si="0"/>
        <v>P5, Catasrophic</v>
      </c>
    </row>
    <row r="25" spans="1:14" x14ac:dyDescent="0.3">
      <c r="L25" s="50" t="s">
        <v>285</v>
      </c>
      <c r="M25" s="50" t="s">
        <v>110</v>
      </c>
      <c r="N25" s="50" t="str">
        <f t="shared" si="0"/>
        <v>P6, Catasrophic</v>
      </c>
    </row>
    <row r="32" spans="1:14" ht="18" x14ac:dyDescent="0.3">
      <c r="E32" s="326"/>
    </row>
    <row r="33" spans="5:5" x14ac:dyDescent="0.3">
      <c r="E33" s="327"/>
    </row>
    <row r="34" spans="5:5" x14ac:dyDescent="0.3">
      <c r="E34" s="327"/>
    </row>
    <row r="35" spans="5:5" x14ac:dyDescent="0.3">
      <c r="E35" s="327"/>
    </row>
    <row r="36" spans="5:5" x14ac:dyDescent="0.3">
      <c r="E36" s="327"/>
    </row>
    <row r="37" spans="5:5" x14ac:dyDescent="0.3">
      <c r="E37" s="327"/>
    </row>
    <row r="38" spans="5:5" ht="18" x14ac:dyDescent="0.3">
      <c r="E38" s="326"/>
    </row>
    <row r="39" spans="5:5" x14ac:dyDescent="0.3">
      <c r="E39" s="327"/>
    </row>
    <row r="40" spans="5:5" ht="18" x14ac:dyDescent="0.3">
      <c r="E40" s="326"/>
    </row>
    <row r="41" spans="5:5" x14ac:dyDescent="0.3">
      <c r="E41" s="327"/>
    </row>
    <row r="42" spans="5:5" x14ac:dyDescent="0.3">
      <c r="E42" s="327"/>
    </row>
    <row r="43" spans="5:5" x14ac:dyDescent="0.3">
      <c r="E43" s="327"/>
    </row>
    <row r="44" spans="5:5" x14ac:dyDescent="0.3">
      <c r="E44" s="327"/>
    </row>
    <row r="45" spans="5:5" x14ac:dyDescent="0.3">
      <c r="E45" s="327"/>
    </row>
  </sheetData>
  <conditionalFormatting sqref="B2:D6">
    <cfRule type="containsText" dxfId="38" priority="1" operator="containsText" text="Weak">
      <formula>NOT(ISERROR(SEARCH("Weak",B2)))</formula>
    </cfRule>
    <cfRule type="containsText" dxfId="37" priority="2" operator="containsText" text="Moderate">
      <formula>NOT(ISERROR(SEARCH("Moderate",B2)))</formula>
    </cfRule>
    <cfRule type="containsText" dxfId="36" priority="3" operator="containsText" text="Strong">
      <formula>NOT(ISERROR(SEARCH("Strong",B2)))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91018E818A374BAB2B6D0BF2AA0432" ma:contentTypeVersion="12" ma:contentTypeDescription="Create a new document." ma:contentTypeScope="" ma:versionID="369c736e871cb93b08114e79675398ab">
  <xsd:schema xmlns:xsd="http://www.w3.org/2001/XMLSchema" xmlns:xs="http://www.w3.org/2001/XMLSchema" xmlns:p="http://schemas.microsoft.com/office/2006/metadata/properties" xmlns:ns2="e598077d-6563-457d-ba81-05c5fe4bc696" xmlns:ns3="20516d9f-cccd-4187-9e9c-d2836962a0eb" targetNamespace="http://schemas.microsoft.com/office/2006/metadata/properties" ma:root="true" ma:fieldsID="96ef00210a1c392b4324b81bbdca2863" ns2:_="" ns3:_="">
    <xsd:import namespace="e598077d-6563-457d-ba81-05c5fe4bc696"/>
    <xsd:import namespace="20516d9f-cccd-4187-9e9c-d2836962a0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8077d-6563-457d-ba81-05c5fe4bc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11843b-6948-4e45-a4d0-217e70d3d4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516d9f-cccd-4187-9e9c-d2836962a0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fcdfdb-0266-4ea9-b59e-16b91d577a0f}" ma:internalName="TaxCatchAll" ma:showField="CatchAllData" ma:web="20516d9f-cccd-4187-9e9c-d2836962a0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98077d-6563-457d-ba81-05c5fe4bc696">
      <Terms xmlns="http://schemas.microsoft.com/office/infopath/2007/PartnerControls"/>
    </lcf76f155ced4ddcb4097134ff3c332f>
    <TaxCatchAll xmlns="20516d9f-cccd-4187-9e9c-d2836962a0eb" xsi:nil="true"/>
  </documentManagement>
</p:properties>
</file>

<file path=customXml/itemProps1.xml><?xml version="1.0" encoding="utf-8"?>
<ds:datastoreItem xmlns:ds="http://schemas.openxmlformats.org/officeDocument/2006/customXml" ds:itemID="{55CFD61E-4C28-41E7-968D-8DECD6633994}"/>
</file>

<file path=customXml/itemProps2.xml><?xml version="1.0" encoding="utf-8"?>
<ds:datastoreItem xmlns:ds="http://schemas.openxmlformats.org/officeDocument/2006/customXml" ds:itemID="{D6E9A9EA-7604-4739-BC82-9DB57E8F89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B04128-549E-41E3-9086-7051F4CBE1D9}">
  <ds:schemaRefs>
    <ds:schemaRef ds:uri="http://schemas.microsoft.com/office/2006/metadata/properties"/>
    <ds:schemaRef ds:uri="http://schemas.microsoft.com/office/infopath/2007/PartnerControls"/>
    <ds:schemaRef ds:uri="eb41f218-3b26-4842-b567-02ab297671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Tables</vt:lpstr>
      <vt:lpstr>Ref.</vt:lpstr>
      <vt:lpstr>FR</vt:lpstr>
      <vt:lpstr>Flyleaf</vt:lpstr>
      <vt:lpstr>Rules(Modify)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Motahari Rad</dc:creator>
  <cp:lastModifiedBy>Zahra Motahari Rad</cp:lastModifiedBy>
  <dcterms:created xsi:type="dcterms:W3CDTF">2025-08-01T21:27:22Z</dcterms:created>
  <dcterms:modified xsi:type="dcterms:W3CDTF">2025-11-07T21:02:20Z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0x0101005991018E818A374BAB2B6D0BF2AA0432</vt:lpwstr>
  </property>
  <property fmtid="{D5CDD505-2E9C-101B-9397-08002B2CF9AE}" pid="3" name="MediaServiceImageTags">
    <vt:lpwstr/>
  </property>
</Properties>
</file>